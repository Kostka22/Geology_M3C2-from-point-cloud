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Grafy" sheetId="2" state="visible" r:id="rId4"/>
    <sheet name="Analyza" sheetId="3" state="visible" r:id="rId5"/>
    <sheet name="Navo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<sst xmlns="http://schemas.openxmlformats.org/spreadsheetml/2006/main" count="71" uniqueCount="64">
  <si>
    <t xml:space="preserve">M3C2 BATCH STATS — IMPORT CSV SEM</t>
  </si>
  <si>
    <t xml:space="preserve">Postup: 1) Skopíruj obsah batch_stats.csv  →  2) Vlož (Ctrl+Shift+V → Hodnoty) od bunky A4  →  3) Prejdi na sheet "Grafy" — grafy sa aktualizujú automaticky</t>
  </si>
  <si>
    <t xml:space="preserve">Názov behu</t>
  </si>
  <si>
    <t xml:space="preserve">Čas</t>
  </si>
  <si>
    <t xml:space="preserve">d [m]</t>
  </si>
  <si>
    <t xml:space="preserve">Normal radii</t>
  </si>
  <si>
    <t xml:space="preserve">Core spacing [m]</t>
  </si>
  <si>
    <t xml:space="preserve">reg_error [m]</t>
  </si>
  <si>
    <t xml:space="preserve">Sigma mode</t>
  </si>
  <si>
    <t xml:space="preserve">σ₁ [m]</t>
  </si>
  <si>
    <t xml:space="preserve">σ₂ [m]</t>
  </si>
  <si>
    <t xml:space="preserve">LoD₉₅ [m]</t>
  </si>
  <si>
    <t xml:space="preserve">Total CP</t>
  </si>
  <si>
    <t xml:space="preserve">Valid CP</t>
  </si>
  <si>
    <t xml:space="preserve">NaN CP</t>
  </si>
  <si>
    <t xml:space="preserve">Sig. count</t>
  </si>
  <si>
    <t xml:space="preserve">Sig. % </t>
  </si>
  <si>
    <t xml:space="preserve">Mean dist [m]</t>
  </si>
  <si>
    <t xml:space="preserve">Median dist [m]</t>
  </si>
  <si>
    <t xml:space="preserve">StdDev [m]</t>
  </si>
  <si>
    <t xml:space="preserve">Min dist [m]</t>
  </si>
  <si>
    <t xml:space="preserve">Max dist [m]</t>
  </si>
  <si>
    <t xml:space="preserve">RMS [m]</t>
  </si>
  <si>
    <t xml:space="preserve">Nz mean</t>
  </si>
  <si>
    <t xml:space="preserve">Nz min</t>
  </si>
  <si>
    <t xml:space="preserve">M3C2 PARAMETRICKÁ ŠTÚDIA — GRAFY</t>
  </si>
  <si>
    <t xml:space="preserve">Grafy sú naviazané na RAW_DATA!C4:C53 (d) a príslušné stĺpce. Ak pridáš riadky nad 53, rozsahy uprav.</t>
  </si>
  <si>
    <t xml:space="preserve">M3C2 d-štúdia — Analýza &amp; Knee Point</t>
  </si>
  <si>
    <t xml:space="preserve">▸  NASTAVENIA  (upraviť podľa potreby)</t>
  </si>
  <si>
    <t xml:space="preserve">Počet behov v RAW_DATA:</t>
  </si>
  <si>
    <t xml:space="preserve">← počet riadkov s dátami v RAW_DATA</t>
  </si>
  <si>
    <t xml:space="preserve">reg_error (m):</t>
  </si>
  <si>
    <t xml:space="preserve">← z m3c2_checkpoint14 nastavení</t>
  </si>
  <si>
    <t xml:space="preserve">Confidence level:</t>
  </si>
  <si>
    <t xml:space="preserve">Stĺpec 'd' v RAW_DATA (číslo):</t>
  </si>
  <si>
    <t xml:space="preserve">▸  VÝPOČTOVÁ TABUĽKA  (automaticky z RAW_DATA)</t>
  </si>
  <si>
    <t xml:space="preserve">Beh #</t>
  </si>
  <si>
    <t xml:space="preserve">σ₁/σ₂</t>
  </si>
  <si>
    <t xml:space="preserve">σ₁ &gt; reg_error?</t>
  </si>
  <si>
    <t xml:space="preserve">Sig. %</t>
  </si>
  <si>
    <t xml:space="preserve">Poznámka</t>
  </si>
  <si>
    <t xml:space="preserve">▸  KNEE POINT SUMMARY</t>
  </si>
  <si>
    <t xml:space="preserve">Odporúčané d [m]:</t>
  </si>
  <si>
    <t xml:space="preserve">Knee point = prvé d, kde σ₁ prekročí reg_error. Vzorce v C34:C39 sú array formulas — ak Excel zobrazí #HODNOTA!, potvrď ich cez Ctrl+Shift+Enter (nie iba Enter).</t>
  </si>
  <si>
    <t xml:space="preserve">σ₁ pri odp. d [m]:</t>
  </si>
  <si>
    <t xml:space="preserve">σ₂ pri odp. d [m]:</t>
  </si>
  <si>
    <t xml:space="preserve">LoD₉₅ pri odp. d [m]:</t>
  </si>
  <si>
    <t xml:space="preserve">Sig.% pri odp. d:</t>
  </si>
  <si>
    <t xml:space="preserve">Valid CP pri odp. d:</t>
  </si>
  <si>
    <t xml:space="preserve">NÁVOD NA POUŽITIE</t>
  </si>
  <si>
    <t xml:space="preserve">KROK 1 — Zaškrtni checkbox</t>
  </si>
  <si>
    <t xml:space="preserve">V m3c2_checkpoint14.py GUI zaškrtni 'Export batch stats to CSV' v sekcii Output Options.</t>
  </si>
  <si>
    <t xml:space="preserve">KROK 2 — Spusti batch behy</t>
  </si>
  <si>
    <t xml:space="preserve">Nastav parametre pre každý beh (napr. rôzne d hodnoty), ulož každý ako JSON session, potom spusti všetky naraz cez tlačidlo Batch. CSV sa priebežne dopĺňa.</t>
  </si>
  <si>
    <t xml:space="preserve">KROK 3 — Nájdi batch_stats.csv</t>
  </si>
  <si>
    <t xml:space="preserve">Súbor batch_stats.csv vznikne vedľa prvého output .laz súboru. Každý ďalší beh append-ne nový riadok (header sa nezopakuje).</t>
  </si>
  <si>
    <t xml:space="preserve">KROK 4 — Importuj do Excelu</t>
  </si>
  <si>
    <t xml:space="preserve">Otvor tento súbor. Choď na sheet RAW_DATA. Otvor batch_stats.csv v Notepade / Excel, skopíruj všetky riadky (bez hlavičky ak ju tu už máš), vlož od bunky A4 ako hodnoty (Ctrl+Shift+V → Hodnoty).</t>
  </si>
  <si>
    <t xml:space="preserve">KROK 5 — Prezri grafy</t>
  </si>
  <si>
    <t xml:space="preserve">Choď na sheet Grafy — σ₁, σ₂, LoD, sig%, valid CP vs. d sa zobrazia automaticky.</t>
  </si>
  <si>
    <t xml:space="preserve">KROK 6 — Knee point</t>
  </si>
  <si>
    <t xml:space="preserve">Choď na sheet Analyza. Skontroluj stĺpec G (σ₁ &gt; reg_error?). V sekcii Knee Point Summary (riadok 33+) sa zobrazí automaticky odporúčané d. Ak vzorce ukazujú #HODNOTA!, potvrď ich ako array formulas (Ctrl+Shift+Enter).</t>
  </si>
  <si>
    <t xml:space="preserve">KROK 7 — Rôzne sweep parametre</t>
  </si>
  <si>
    <t xml:space="preserve">Tento Excel funguje pre d-štúdiu, D-štúdiu, reg_error štúdiu aj iné. Pre iný parameter len zmeň popis v hlavičke — stĺpcové formáty a grafy ostávajú rovnaké.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</si>
</sst>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0.000"/>
    <numFmt numFmtId="168" formatCode="0.0000"/>
    <numFmt numFmtId="169" formatCode="#,##0"/>
    <numFmt numFmtId="170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D9E7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C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7FC"/>
      </patternFill>
    </fill>
    <fill>
      <patternFill patternType="solid">
        <fgColor rgb="FFFFFFFF"/>
        <bgColor rgb="FFF2F7FC"/>
      </patternFill>
    </fill>
    <fill>
      <patternFill patternType="solid">
        <fgColor rgb="FFFFF2CC"/>
        <bgColor rgb="FFE2EFDA"/>
      </patternFill>
    </fill>
    <fill>
      <patternFill patternType="solid">
        <fgColor rgb="FF1D9E75"/>
        <bgColor rgb="FF008080"/>
      </patternFill>
    </fill>
    <fill>
      <patternFill patternType="solid">
        <fgColor rgb="FFE2EFDA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9933E"/>
      <rgbColor rgb="FFE24B4A"/>
      <rgbColor rgb="FF595959"/>
      <rgbColor rgb="FF70AD47"/>
      <rgbColor rgb="FF003366"/>
      <rgbColor rgb="FF1D9E7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σ₁, σ₂ a LoD₉₅ vs. d  (cylinder radius)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RAW_DATA!H3</c:f>
              <c:strCache>
                <c:ptCount val="1"/>
                <c:pt idx="0">
                  <c:v>σ₁ [m]</c:v>
                </c:pt>
              </c:strCache>
            </c:strRef>
          </c:tx>
          <c:spPr>
            <a:solidFill>
              <a:srgbClr val="e24b4a"/>
            </a:solidFill>
            <a:ln w="18000">
              <a:solidFill>
                <a:srgbClr val="e24b4a"/>
              </a:solidFill>
              <a:round/>
            </a:ln>
          </c:spPr>
          <c:marker>
            <c:symbol val="circle"/>
            <c:size val="6"/>
            <c:spPr>
              <a:solidFill>
                <a:srgbClr val="e24b4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RAW_DATA!$C$4:$C$53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RAW_DATA!$H$4:$H$53</c:f>
              <c:numCache>
                <c:formatCode>General</c:formatCode>
                <c:ptCount val="50"/>
              </c:numCache>
            </c:numRef>
          </c:val>
          <c:smooth val="1"/>
        </c:ser>
        <c:ser>
          <c:idx val="1"/>
          <c:order val="1"/>
          <c:tx>
            <c:strRef>
              <c:f>RAW_DATA!I3</c:f>
              <c:strCache>
                <c:ptCount val="1"/>
                <c:pt idx="0">
                  <c:v>σ₂ [m]</c:v>
                </c:pt>
              </c:strCache>
            </c:strRef>
          </c:tx>
          <c:spPr>
            <a:solidFill>
              <a:srgbClr val="1d9e75"/>
            </a:solidFill>
            <a:ln w="18000">
              <a:solidFill>
                <a:srgbClr val="1d9e75"/>
              </a:solidFill>
              <a:round/>
            </a:ln>
          </c:spPr>
          <c:marker>
            <c:symbol val="circle"/>
            <c:size val="6"/>
            <c:spPr>
              <a:solidFill>
                <a:srgbClr val="1d9e7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RAW_DATA!$C$4:$C$53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RAW_DATA!$I$4:$I$53</c:f>
              <c:numCache>
                <c:formatCode>General</c:formatCode>
                <c:ptCount val="50"/>
              </c:numCache>
            </c:numRef>
          </c:val>
          <c:smooth val="1"/>
        </c:ser>
        <c:ser>
          <c:idx val="2"/>
          <c:order val="2"/>
          <c:tx>
            <c:strRef>
              <c:f>RAW_DATA!J3</c:f>
              <c:strCache>
                <c:ptCount val="1"/>
                <c:pt idx="0">
                  <c:v>LoD₉₅ [m]</c:v>
                </c:pt>
              </c:strCache>
            </c:strRef>
          </c:tx>
          <c:spPr>
            <a:solidFill>
              <a:srgbClr val="2e75b6"/>
            </a:solidFill>
            <a:ln w="14040">
              <a:solidFill>
                <a:srgbClr val="2e75b6"/>
              </a:solidFill>
              <a:round/>
            </a:ln>
          </c:spPr>
          <c:marker>
            <c:symbol val="diamond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RAW_DATA!$C$4:$C$53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RAW_DATA!$J$4:$J$53</c:f>
              <c:numCache>
                <c:formatCode>General</c:formatCode>
                <c:ptCount val="5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3700490"/>
        <c:axId val="77049517"/>
      </c:lineChart>
      <c:catAx>
        <c:axId val="337004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49517"/>
        <c:crosses val="autoZero"/>
        <c:auto val="1"/>
        <c:lblAlgn val="ctr"/>
        <c:lblOffset val="100"/>
        <c:noMultiLvlLbl val="0"/>
      </c:catAx>
      <c:valAx>
        <c:axId val="77049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hodnota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004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Podiel významných zmien vs. 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RAW_DATA!O3</c:f>
              <c:strCache>
                <c:ptCount val="1"/>
                <c:pt idx="0">
                  <c:v>Sig. % </c:v>
                </c:pt>
              </c:strCache>
            </c:strRef>
          </c:tx>
          <c:spPr>
            <a:solidFill>
              <a:srgbClr val="d9933e"/>
            </a:solidFill>
            <a:ln w="18000">
              <a:solidFill>
                <a:srgbClr val="d9933e"/>
              </a:solidFill>
              <a:round/>
            </a:ln>
          </c:spPr>
          <c:marker>
            <c:symbol val="square"/>
            <c:size val="6"/>
            <c:spPr>
              <a:solidFill>
                <a:srgbClr val="d9933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RAW_DATA!$C$4:$C$53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RAW_DATA!$O$4:$O$53</c:f>
              <c:numCache>
                <c:formatCode>General</c:formatCode>
                <c:ptCount val="5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3409279"/>
        <c:axId val="60725752"/>
      </c:lineChart>
      <c:catAx>
        <c:axId val="83409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25752"/>
        <c:crosses val="autoZero"/>
        <c:auto val="1"/>
        <c:lblAlgn val="ctr"/>
        <c:lblOffset val="100"/>
        <c:noMultiLvlLbl val="0"/>
      </c:catAx>
      <c:valAx>
        <c:axId val="60725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sig. [%]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092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Valid corepoints &amp; NaN vs. 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RAW_DATA!L3</c:f>
              <c:strCache>
                <c:ptCount val="1"/>
                <c:pt idx="0">
                  <c:v>Valid CP</c:v>
                </c:pt>
              </c:strCache>
            </c:strRef>
          </c:tx>
          <c:spPr>
            <a:solidFill>
              <a:srgbClr val="1d9e75"/>
            </a:solidFill>
            <a:ln w="18000">
              <a:solidFill>
                <a:srgbClr val="1d9e75"/>
              </a:solidFill>
              <a:round/>
            </a:ln>
          </c:spPr>
          <c:marker>
            <c:symbol val="circle"/>
            <c:size val="6"/>
            <c:spPr>
              <a:solidFill>
                <a:srgbClr val="1d9e7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RAW_DATA!$C$4:$C$53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RAW_DATA!$L$4:$L$53</c:f>
              <c:numCache>
                <c:formatCode>General</c:formatCode>
                <c:ptCount val="50"/>
              </c:numCache>
            </c:numRef>
          </c:val>
          <c:smooth val="1"/>
        </c:ser>
        <c:ser>
          <c:idx val="1"/>
          <c:order val="1"/>
          <c:tx>
            <c:strRef>
              <c:f>RAW_DATA!M3</c:f>
              <c:strCache>
                <c:ptCount val="1"/>
                <c:pt idx="0">
                  <c:v>NaN CP</c:v>
                </c:pt>
              </c:strCache>
            </c:strRef>
          </c:tx>
          <c:spPr>
            <a:solidFill>
              <a:srgbClr val="e24b4a"/>
            </a:solidFill>
            <a:ln w="14040">
              <a:solidFill>
                <a:srgbClr val="e24b4a"/>
              </a:solidFill>
              <a:round/>
            </a:ln>
          </c:spPr>
          <c:marker>
            <c:symbol val="triangle"/>
            <c:size val="5"/>
            <c:spPr>
              <a:solidFill>
                <a:srgbClr val="e24b4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RAW_DATA!$C$4:$C$53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RAW_DATA!$M$4:$M$53</c:f>
              <c:numCache>
                <c:formatCode>General</c:formatCode>
                <c:ptCount val="5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3158824"/>
        <c:axId val="90088301"/>
      </c:lineChart>
      <c:catAx>
        <c:axId val="231588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88301"/>
        <c:crosses val="autoZero"/>
        <c:auto val="1"/>
        <c:lblAlgn val="ctr"/>
        <c:lblOffset val="100"/>
        <c:noMultiLvlLbl val="0"/>
      </c:catAx>
      <c:valAx>
        <c:axId val="900883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počet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588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StdDev vzdialeností vs. 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RAW_DATA!R3</c:f>
              <c:strCache>
                <c:ptCount val="1"/>
                <c:pt idx="0">
                  <c:v>StdDev [m]</c:v>
                </c:pt>
              </c:strCache>
            </c:strRef>
          </c:tx>
          <c:spPr>
            <a:solidFill>
              <a:srgbClr val="7030a0"/>
            </a:solidFill>
            <a:ln w="18000">
              <a:solidFill>
                <a:srgbClr val="7030a0"/>
              </a:solidFill>
              <a:round/>
            </a:ln>
          </c:spPr>
          <c:marker>
            <c:symbol val="circle"/>
            <c:size val="6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RAW_DATA!$C$4:$C$53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RAW_DATA!$R$4:$R$53</c:f>
              <c:numCache>
                <c:formatCode>General</c:formatCode>
                <c:ptCount val="5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6657290"/>
        <c:axId val="36387652"/>
      </c:lineChart>
      <c:catAx>
        <c:axId val="766572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87652"/>
        <c:crosses val="autoZero"/>
        <c:auto val="1"/>
        <c:lblAlgn val="ctr"/>
        <c:lblOffset val="100"/>
        <c:noMultiLvlLbl val="0"/>
      </c:catAx>
      <c:valAx>
        <c:axId val="36387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572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10</xdr:col>
      <xdr:colOff>364680</xdr:colOff>
      <xdr:row>25</xdr:row>
      <xdr:rowOff>128520</xdr:rowOff>
    </xdr:to>
    <xdr:graphicFrame>
      <xdr:nvGraphicFramePr>
        <xdr:cNvPr id="0" name="Chart 1"/>
        <xdr:cNvGraphicFramePr/>
      </xdr:nvGraphicFramePr>
      <xdr:xfrm>
        <a:off x="0" y="704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364680</xdr:colOff>
      <xdr:row>43</xdr:row>
      <xdr:rowOff>170640</xdr:rowOff>
    </xdr:to>
    <xdr:graphicFrame>
      <xdr:nvGraphicFramePr>
        <xdr:cNvPr id="1" name="Chart 2"/>
        <xdr:cNvGraphicFramePr/>
      </xdr:nvGraphicFramePr>
      <xdr:xfrm>
        <a:off x="0" y="48960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10</xdr:col>
      <xdr:colOff>364680</xdr:colOff>
      <xdr:row>61</xdr:row>
      <xdr:rowOff>170640</xdr:rowOff>
    </xdr:to>
    <xdr:graphicFrame>
      <xdr:nvGraphicFramePr>
        <xdr:cNvPr id="2" name="Chart 3"/>
        <xdr:cNvGraphicFramePr/>
      </xdr:nvGraphicFramePr>
      <xdr:xfrm>
        <a:off x="0" y="83250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59</xdr:row>
      <xdr:rowOff>0</xdr:rowOff>
    </xdr:from>
    <xdr:to>
      <xdr:col>10</xdr:col>
      <xdr:colOff>364680</xdr:colOff>
      <xdr:row>77</xdr:row>
      <xdr:rowOff>170640</xdr:rowOff>
    </xdr:to>
    <xdr:graphicFrame>
      <xdr:nvGraphicFramePr>
        <xdr:cNvPr id="3" name="Chart 4"/>
        <xdr:cNvGraphicFramePr/>
      </xdr:nvGraphicFramePr>
      <xdr:xfrm>
        <a:off x="0" y="113727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7" min="6" style="0" width="13"/>
    <col collapsed="false" customWidth="true" hidden="false" outlineLevel="0" max="10" min="8" style="0" width="10"/>
    <col collapsed="false" customWidth="true" hidden="false" outlineLevel="0" max="14" min="11" style="0" width="11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1"/>
    <col collapsed="false" customWidth="true" hidden="false" outlineLevel="0" max="20" min="19" style="0" width="12"/>
    <col collapsed="false" customWidth="true" hidden="false" outlineLevel="0" max="23" min="21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 customFormat="false" ht="15" hidden="false" customHeight="false" outlineLevel="0" collapsed="false">
      <c r="A4" s="4"/>
      <c r="B4" s="4"/>
      <c r="C4" s="5"/>
      <c r="D4" s="4"/>
      <c r="E4" s="6"/>
      <c r="F4" s="7"/>
      <c r="G4" s="4"/>
      <c r="H4" s="8"/>
      <c r="I4" s="8"/>
      <c r="J4" s="8"/>
      <c r="K4" s="9"/>
      <c r="L4" s="9"/>
      <c r="M4" s="9"/>
      <c r="N4" s="9"/>
      <c r="O4" s="6"/>
      <c r="P4" s="8"/>
      <c r="Q4" s="8"/>
      <c r="R4" s="8"/>
      <c r="S4" s="8"/>
      <c r="T4" s="8"/>
      <c r="U4" s="8"/>
      <c r="V4" s="8"/>
      <c r="W4" s="8"/>
    </row>
    <row r="5" customFormat="false" ht="15" hidden="false" customHeight="false" outlineLevel="0" collapsed="false">
      <c r="A5" s="10"/>
      <c r="B5" s="10"/>
      <c r="C5" s="11"/>
      <c r="D5" s="10"/>
      <c r="E5" s="12"/>
      <c r="F5" s="13"/>
      <c r="G5" s="10"/>
      <c r="H5" s="14"/>
      <c r="I5" s="14"/>
      <c r="J5" s="14"/>
      <c r="K5" s="15"/>
      <c r="L5" s="15"/>
      <c r="M5" s="15"/>
      <c r="N5" s="15"/>
      <c r="O5" s="12"/>
      <c r="P5" s="14"/>
      <c r="Q5" s="14"/>
      <c r="R5" s="14"/>
      <c r="S5" s="14"/>
      <c r="T5" s="14"/>
      <c r="U5" s="14"/>
      <c r="V5" s="14"/>
      <c r="W5" s="14"/>
    </row>
    <row r="6" customFormat="false" ht="15" hidden="false" customHeight="false" outlineLevel="0" collapsed="false">
      <c r="A6" s="4"/>
      <c r="B6" s="4"/>
      <c r="C6" s="5"/>
      <c r="D6" s="4"/>
      <c r="E6" s="6"/>
      <c r="F6" s="7"/>
      <c r="G6" s="4"/>
      <c r="H6" s="8"/>
      <c r="I6" s="8"/>
      <c r="J6" s="8"/>
      <c r="K6" s="9"/>
      <c r="L6" s="9"/>
      <c r="M6" s="9"/>
      <c r="N6" s="9"/>
      <c r="O6" s="6"/>
      <c r="P6" s="8"/>
      <c r="Q6" s="8"/>
      <c r="R6" s="8"/>
      <c r="S6" s="8"/>
      <c r="T6" s="8"/>
      <c r="U6" s="8"/>
      <c r="V6" s="8"/>
      <c r="W6" s="8"/>
    </row>
    <row r="7" customFormat="false" ht="15" hidden="false" customHeight="false" outlineLevel="0" collapsed="false">
      <c r="A7" s="10"/>
      <c r="B7" s="10"/>
      <c r="C7" s="11"/>
      <c r="D7" s="10"/>
      <c r="E7" s="12"/>
      <c r="F7" s="13"/>
      <c r="G7" s="10"/>
      <c r="H7" s="14"/>
      <c r="I7" s="14"/>
      <c r="J7" s="14"/>
      <c r="K7" s="15"/>
      <c r="L7" s="15"/>
      <c r="M7" s="15"/>
      <c r="N7" s="15"/>
      <c r="O7" s="12"/>
      <c r="P7" s="14"/>
      <c r="Q7" s="14"/>
      <c r="R7" s="14"/>
      <c r="S7" s="14"/>
      <c r="T7" s="14"/>
      <c r="U7" s="14"/>
      <c r="V7" s="14"/>
      <c r="W7" s="14"/>
    </row>
    <row r="8" customFormat="false" ht="15" hidden="false" customHeight="false" outlineLevel="0" collapsed="false">
      <c r="A8" s="4"/>
      <c r="B8" s="4"/>
      <c r="C8" s="5"/>
      <c r="D8" s="4"/>
      <c r="E8" s="6"/>
      <c r="F8" s="7"/>
      <c r="G8" s="4"/>
      <c r="H8" s="8"/>
      <c r="I8" s="8"/>
      <c r="J8" s="8"/>
      <c r="K8" s="9"/>
      <c r="L8" s="9"/>
      <c r="M8" s="9"/>
      <c r="N8" s="9"/>
      <c r="O8" s="6"/>
      <c r="P8" s="8"/>
      <c r="Q8" s="8"/>
      <c r="R8" s="8"/>
      <c r="S8" s="8"/>
      <c r="T8" s="8"/>
      <c r="U8" s="8"/>
      <c r="V8" s="8"/>
      <c r="W8" s="8"/>
    </row>
    <row r="9" customFormat="false" ht="15" hidden="false" customHeight="false" outlineLevel="0" collapsed="false">
      <c r="A9" s="10"/>
      <c r="B9" s="10"/>
      <c r="C9" s="11"/>
      <c r="D9" s="10"/>
      <c r="E9" s="12"/>
      <c r="F9" s="13"/>
      <c r="G9" s="10"/>
      <c r="H9" s="14"/>
      <c r="I9" s="14"/>
      <c r="J9" s="14"/>
      <c r="K9" s="15"/>
      <c r="L9" s="15"/>
      <c r="M9" s="15"/>
      <c r="N9" s="15"/>
      <c r="O9" s="12"/>
      <c r="P9" s="14"/>
      <c r="Q9" s="14"/>
      <c r="R9" s="14"/>
      <c r="S9" s="14"/>
      <c r="T9" s="14"/>
      <c r="U9" s="14"/>
      <c r="V9" s="14"/>
      <c r="W9" s="14"/>
    </row>
    <row r="10" customFormat="false" ht="15" hidden="false" customHeight="false" outlineLevel="0" collapsed="false">
      <c r="A10" s="4"/>
      <c r="B10" s="4"/>
      <c r="C10" s="5"/>
      <c r="D10" s="4"/>
      <c r="E10" s="6"/>
      <c r="F10" s="7"/>
      <c r="G10" s="4"/>
      <c r="H10" s="8"/>
      <c r="I10" s="8"/>
      <c r="J10" s="8"/>
      <c r="K10" s="9"/>
      <c r="L10" s="9"/>
      <c r="M10" s="9"/>
      <c r="N10" s="9"/>
      <c r="O10" s="6"/>
      <c r="P10" s="8"/>
      <c r="Q10" s="8"/>
      <c r="R10" s="8"/>
      <c r="S10" s="8"/>
      <c r="T10" s="8"/>
      <c r="U10" s="8"/>
      <c r="V10" s="8"/>
      <c r="W10" s="8"/>
    </row>
    <row r="11" customFormat="false" ht="15" hidden="false" customHeight="false" outlineLevel="0" collapsed="false">
      <c r="A11" s="10"/>
      <c r="B11" s="10"/>
      <c r="C11" s="11"/>
      <c r="D11" s="10"/>
      <c r="E11" s="12"/>
      <c r="F11" s="13"/>
      <c r="G11" s="10"/>
      <c r="H11" s="14"/>
      <c r="I11" s="14"/>
      <c r="J11" s="14"/>
      <c r="K11" s="15"/>
      <c r="L11" s="15"/>
      <c r="M11" s="15"/>
      <c r="N11" s="15"/>
      <c r="O11" s="12"/>
      <c r="P11" s="14"/>
      <c r="Q11" s="14"/>
      <c r="R11" s="14"/>
      <c r="S11" s="14"/>
      <c r="T11" s="14"/>
      <c r="U11" s="14"/>
      <c r="V11" s="14"/>
      <c r="W11" s="14"/>
    </row>
    <row r="12" customFormat="false" ht="15" hidden="false" customHeight="false" outlineLevel="0" collapsed="false">
      <c r="A12" s="4"/>
      <c r="B12" s="4"/>
      <c r="C12" s="5"/>
      <c r="D12" s="4"/>
      <c r="E12" s="6"/>
      <c r="F12" s="7"/>
      <c r="G12" s="4"/>
      <c r="H12" s="8"/>
      <c r="I12" s="8"/>
      <c r="J12" s="8"/>
      <c r="K12" s="9"/>
      <c r="L12" s="9"/>
      <c r="M12" s="9"/>
      <c r="N12" s="9"/>
      <c r="O12" s="6"/>
      <c r="P12" s="8"/>
      <c r="Q12" s="8"/>
      <c r="R12" s="8"/>
      <c r="S12" s="8"/>
      <c r="T12" s="8"/>
      <c r="U12" s="8"/>
      <c r="V12" s="8"/>
      <c r="W12" s="8"/>
    </row>
    <row r="13" customFormat="false" ht="15" hidden="false" customHeight="false" outlineLevel="0" collapsed="false">
      <c r="A13" s="10"/>
      <c r="B13" s="10"/>
      <c r="C13" s="11"/>
      <c r="D13" s="10"/>
      <c r="E13" s="12"/>
      <c r="F13" s="13"/>
      <c r="G13" s="10"/>
      <c r="H13" s="14"/>
      <c r="I13" s="14"/>
      <c r="J13" s="14"/>
      <c r="K13" s="15"/>
      <c r="L13" s="15"/>
      <c r="M13" s="15"/>
      <c r="N13" s="15"/>
      <c r="O13" s="12"/>
      <c r="P13" s="14"/>
      <c r="Q13" s="14"/>
      <c r="R13" s="14"/>
      <c r="S13" s="14"/>
      <c r="T13" s="14"/>
      <c r="U13" s="14"/>
      <c r="V13" s="14"/>
      <c r="W13" s="14"/>
    </row>
    <row r="14" customFormat="false" ht="15" hidden="false" customHeight="false" outlineLevel="0" collapsed="false">
      <c r="A14" s="4"/>
      <c r="B14" s="4"/>
      <c r="C14" s="5"/>
      <c r="D14" s="4"/>
      <c r="E14" s="6"/>
      <c r="F14" s="7"/>
      <c r="G14" s="4"/>
      <c r="H14" s="8"/>
      <c r="I14" s="8"/>
      <c r="J14" s="8"/>
      <c r="K14" s="9"/>
      <c r="L14" s="9"/>
      <c r="M14" s="9"/>
      <c r="N14" s="9"/>
      <c r="O14" s="6"/>
      <c r="P14" s="8"/>
      <c r="Q14" s="8"/>
      <c r="R14" s="8"/>
      <c r="S14" s="8"/>
      <c r="T14" s="8"/>
      <c r="U14" s="8"/>
      <c r="V14" s="8"/>
      <c r="W14" s="8"/>
    </row>
    <row r="15" customFormat="false" ht="15" hidden="false" customHeight="false" outlineLevel="0" collapsed="false">
      <c r="A15" s="10"/>
      <c r="B15" s="10"/>
      <c r="C15" s="11"/>
      <c r="D15" s="10"/>
      <c r="E15" s="12"/>
      <c r="F15" s="13"/>
      <c r="G15" s="10"/>
      <c r="H15" s="14"/>
      <c r="I15" s="14"/>
      <c r="J15" s="14"/>
      <c r="K15" s="15"/>
      <c r="L15" s="15"/>
      <c r="M15" s="15"/>
      <c r="N15" s="15"/>
      <c r="O15" s="12"/>
      <c r="P15" s="14"/>
      <c r="Q15" s="14"/>
      <c r="R15" s="14"/>
      <c r="S15" s="14"/>
      <c r="T15" s="14"/>
      <c r="U15" s="14"/>
      <c r="V15" s="14"/>
      <c r="W15" s="14"/>
    </row>
    <row r="16" customFormat="false" ht="15" hidden="false" customHeight="false" outlineLevel="0" collapsed="false">
      <c r="A16" s="4"/>
      <c r="B16" s="4"/>
      <c r="C16" s="5"/>
      <c r="D16" s="4"/>
      <c r="E16" s="6"/>
      <c r="F16" s="7"/>
      <c r="G16" s="4"/>
      <c r="H16" s="8"/>
      <c r="I16" s="8"/>
      <c r="J16" s="8"/>
      <c r="K16" s="9"/>
      <c r="L16" s="9"/>
      <c r="M16" s="9"/>
      <c r="N16" s="9"/>
      <c r="O16" s="6"/>
      <c r="P16" s="8"/>
      <c r="Q16" s="8"/>
      <c r="R16" s="8"/>
      <c r="S16" s="8"/>
      <c r="T16" s="8"/>
      <c r="U16" s="8"/>
      <c r="V16" s="8"/>
      <c r="W16" s="8"/>
    </row>
    <row r="17" customFormat="false" ht="15" hidden="false" customHeight="false" outlineLevel="0" collapsed="false">
      <c r="A17" s="10"/>
      <c r="B17" s="10"/>
      <c r="C17" s="11"/>
      <c r="D17" s="10"/>
      <c r="E17" s="12"/>
      <c r="F17" s="13"/>
      <c r="G17" s="10"/>
      <c r="H17" s="14"/>
      <c r="I17" s="14"/>
      <c r="J17" s="14"/>
      <c r="K17" s="15"/>
      <c r="L17" s="15"/>
      <c r="M17" s="15"/>
      <c r="N17" s="15"/>
      <c r="O17" s="12"/>
      <c r="P17" s="14"/>
      <c r="Q17" s="14"/>
      <c r="R17" s="14"/>
      <c r="S17" s="14"/>
      <c r="T17" s="14"/>
      <c r="U17" s="14"/>
      <c r="V17" s="14"/>
      <c r="W17" s="14"/>
    </row>
    <row r="18" customFormat="false" ht="15" hidden="false" customHeight="false" outlineLevel="0" collapsed="false">
      <c r="A18" s="4"/>
      <c r="B18" s="4"/>
      <c r="C18" s="5"/>
      <c r="D18" s="4"/>
      <c r="E18" s="6"/>
      <c r="F18" s="7"/>
      <c r="G18" s="4"/>
      <c r="H18" s="8"/>
      <c r="I18" s="8"/>
      <c r="J18" s="8"/>
      <c r="K18" s="9"/>
      <c r="L18" s="9"/>
      <c r="M18" s="9"/>
      <c r="N18" s="9"/>
      <c r="O18" s="6"/>
      <c r="P18" s="8"/>
      <c r="Q18" s="8"/>
      <c r="R18" s="8"/>
      <c r="S18" s="8"/>
      <c r="T18" s="8"/>
      <c r="U18" s="8"/>
      <c r="V18" s="8"/>
      <c r="W18" s="8"/>
    </row>
    <row r="19" customFormat="false" ht="15" hidden="false" customHeight="false" outlineLevel="0" collapsed="false">
      <c r="A19" s="10"/>
      <c r="B19" s="10"/>
      <c r="C19" s="11"/>
      <c r="D19" s="10"/>
      <c r="E19" s="12"/>
      <c r="F19" s="13"/>
      <c r="G19" s="10"/>
      <c r="H19" s="14"/>
      <c r="I19" s="14"/>
      <c r="J19" s="14"/>
      <c r="K19" s="15"/>
      <c r="L19" s="15"/>
      <c r="M19" s="15"/>
      <c r="N19" s="15"/>
      <c r="O19" s="12"/>
      <c r="P19" s="14"/>
      <c r="Q19" s="14"/>
      <c r="R19" s="14"/>
      <c r="S19" s="14"/>
      <c r="T19" s="14"/>
      <c r="U19" s="14"/>
      <c r="V19" s="14"/>
      <c r="W19" s="14"/>
    </row>
    <row r="20" customFormat="false" ht="15" hidden="false" customHeight="false" outlineLevel="0" collapsed="false">
      <c r="A20" s="4"/>
      <c r="B20" s="4"/>
      <c r="C20" s="5"/>
      <c r="D20" s="4"/>
      <c r="E20" s="6"/>
      <c r="F20" s="7"/>
      <c r="G20" s="4"/>
      <c r="H20" s="8"/>
      <c r="I20" s="8"/>
      <c r="J20" s="8"/>
      <c r="K20" s="9"/>
      <c r="L20" s="9"/>
      <c r="M20" s="9"/>
      <c r="N20" s="9"/>
      <c r="O20" s="6"/>
      <c r="P20" s="8"/>
      <c r="Q20" s="8"/>
      <c r="R20" s="8"/>
      <c r="S20" s="8"/>
      <c r="T20" s="8"/>
      <c r="U20" s="8"/>
      <c r="V20" s="8"/>
      <c r="W20" s="8"/>
    </row>
    <row r="21" customFormat="false" ht="15" hidden="false" customHeight="false" outlineLevel="0" collapsed="false">
      <c r="A21" s="10"/>
      <c r="B21" s="10"/>
      <c r="C21" s="11"/>
      <c r="D21" s="10"/>
      <c r="E21" s="12"/>
      <c r="F21" s="13"/>
      <c r="G21" s="10"/>
      <c r="H21" s="14"/>
      <c r="I21" s="14"/>
      <c r="J21" s="14"/>
      <c r="K21" s="15"/>
      <c r="L21" s="15"/>
      <c r="M21" s="15"/>
      <c r="N21" s="15"/>
      <c r="O21" s="12"/>
      <c r="P21" s="14"/>
      <c r="Q21" s="14"/>
      <c r="R21" s="14"/>
      <c r="S21" s="14"/>
      <c r="T21" s="14"/>
      <c r="U21" s="14"/>
      <c r="V21" s="14"/>
      <c r="W21" s="14"/>
    </row>
    <row r="22" customFormat="false" ht="15" hidden="false" customHeight="false" outlineLevel="0" collapsed="false">
      <c r="A22" s="4"/>
      <c r="B22" s="4"/>
      <c r="C22" s="5"/>
      <c r="D22" s="4"/>
      <c r="E22" s="6"/>
      <c r="F22" s="7"/>
      <c r="G22" s="4"/>
      <c r="H22" s="8"/>
      <c r="I22" s="8"/>
      <c r="J22" s="8"/>
      <c r="K22" s="9"/>
      <c r="L22" s="9"/>
      <c r="M22" s="9"/>
      <c r="N22" s="9"/>
      <c r="O22" s="6"/>
      <c r="P22" s="8"/>
      <c r="Q22" s="8"/>
      <c r="R22" s="8"/>
      <c r="S22" s="8"/>
      <c r="T22" s="8"/>
      <c r="U22" s="8"/>
      <c r="V22" s="8"/>
      <c r="W22" s="8"/>
    </row>
    <row r="23" customFormat="false" ht="15" hidden="false" customHeight="false" outlineLevel="0" collapsed="false">
      <c r="A23" s="10"/>
      <c r="B23" s="10"/>
      <c r="C23" s="11"/>
      <c r="D23" s="10"/>
      <c r="E23" s="12"/>
      <c r="F23" s="13"/>
      <c r="G23" s="10"/>
      <c r="H23" s="14"/>
      <c r="I23" s="14"/>
      <c r="J23" s="14"/>
      <c r="K23" s="15"/>
      <c r="L23" s="15"/>
      <c r="M23" s="15"/>
      <c r="N23" s="15"/>
      <c r="O23" s="12"/>
      <c r="P23" s="14"/>
      <c r="Q23" s="14"/>
      <c r="R23" s="14"/>
      <c r="S23" s="14"/>
      <c r="T23" s="14"/>
      <c r="U23" s="14"/>
      <c r="V23" s="14"/>
      <c r="W23" s="14"/>
    </row>
    <row r="24" customFormat="false" ht="15" hidden="false" customHeight="false" outlineLevel="0" collapsed="false">
      <c r="A24" s="4"/>
      <c r="B24" s="4"/>
      <c r="C24" s="5"/>
      <c r="D24" s="4"/>
      <c r="E24" s="6"/>
      <c r="F24" s="7"/>
      <c r="G24" s="4"/>
      <c r="H24" s="8"/>
      <c r="I24" s="8"/>
      <c r="J24" s="8"/>
      <c r="K24" s="9"/>
      <c r="L24" s="9"/>
      <c r="M24" s="9"/>
      <c r="N24" s="9"/>
      <c r="O24" s="6"/>
      <c r="P24" s="8"/>
      <c r="Q24" s="8"/>
      <c r="R24" s="8"/>
      <c r="S24" s="8"/>
      <c r="T24" s="8"/>
      <c r="U24" s="8"/>
      <c r="V24" s="8"/>
      <c r="W24" s="8"/>
    </row>
    <row r="25" customFormat="false" ht="15" hidden="false" customHeight="false" outlineLevel="0" collapsed="false">
      <c r="A25" s="10"/>
      <c r="B25" s="10"/>
      <c r="C25" s="11"/>
      <c r="D25" s="10"/>
      <c r="E25" s="12"/>
      <c r="F25" s="13"/>
      <c r="G25" s="10"/>
      <c r="H25" s="14"/>
      <c r="I25" s="14"/>
      <c r="J25" s="14"/>
      <c r="K25" s="15"/>
      <c r="L25" s="15"/>
      <c r="M25" s="15"/>
      <c r="N25" s="15"/>
      <c r="O25" s="12"/>
      <c r="P25" s="14"/>
      <c r="Q25" s="14"/>
      <c r="R25" s="14"/>
      <c r="S25" s="14"/>
      <c r="T25" s="14"/>
      <c r="U25" s="14"/>
      <c r="V25" s="14"/>
      <c r="W25" s="14"/>
    </row>
    <row r="26" customFormat="false" ht="15" hidden="false" customHeight="false" outlineLevel="0" collapsed="false">
      <c r="A26" s="4"/>
      <c r="B26" s="4"/>
      <c r="C26" s="5"/>
      <c r="D26" s="4"/>
      <c r="E26" s="6"/>
      <c r="F26" s="7"/>
      <c r="G26" s="4"/>
      <c r="H26" s="8"/>
      <c r="I26" s="8"/>
      <c r="J26" s="8"/>
      <c r="K26" s="9"/>
      <c r="L26" s="9"/>
      <c r="M26" s="9"/>
      <c r="N26" s="9"/>
      <c r="O26" s="6"/>
      <c r="P26" s="8"/>
      <c r="Q26" s="8"/>
      <c r="R26" s="8"/>
      <c r="S26" s="8"/>
      <c r="T26" s="8"/>
      <c r="U26" s="8"/>
      <c r="V26" s="8"/>
      <c r="W26" s="8"/>
    </row>
    <row r="27" customFormat="false" ht="15" hidden="false" customHeight="false" outlineLevel="0" collapsed="false">
      <c r="A27" s="10"/>
      <c r="B27" s="10"/>
      <c r="C27" s="11"/>
      <c r="D27" s="10"/>
      <c r="E27" s="12"/>
      <c r="F27" s="13"/>
      <c r="G27" s="10"/>
      <c r="H27" s="14"/>
      <c r="I27" s="14"/>
      <c r="J27" s="14"/>
      <c r="K27" s="15"/>
      <c r="L27" s="15"/>
      <c r="M27" s="15"/>
      <c r="N27" s="15"/>
      <c r="O27" s="12"/>
      <c r="P27" s="14"/>
      <c r="Q27" s="14"/>
      <c r="R27" s="14"/>
      <c r="S27" s="14"/>
      <c r="T27" s="14"/>
      <c r="U27" s="14"/>
      <c r="V27" s="14"/>
      <c r="W27" s="14"/>
    </row>
    <row r="28" customFormat="false" ht="15" hidden="false" customHeight="false" outlineLevel="0" collapsed="false">
      <c r="A28" s="4"/>
      <c r="B28" s="4"/>
      <c r="C28" s="5"/>
      <c r="D28" s="4"/>
      <c r="E28" s="6"/>
      <c r="F28" s="7"/>
      <c r="G28" s="4"/>
      <c r="H28" s="8"/>
      <c r="I28" s="8"/>
      <c r="J28" s="8"/>
      <c r="K28" s="9"/>
      <c r="L28" s="9"/>
      <c r="M28" s="9"/>
      <c r="N28" s="9"/>
      <c r="O28" s="6"/>
      <c r="P28" s="8"/>
      <c r="Q28" s="8"/>
      <c r="R28" s="8"/>
      <c r="S28" s="8"/>
      <c r="T28" s="8"/>
      <c r="U28" s="8"/>
      <c r="V28" s="8"/>
      <c r="W28" s="8"/>
    </row>
    <row r="29" customFormat="false" ht="15" hidden="false" customHeight="false" outlineLevel="0" collapsed="false">
      <c r="A29" s="10"/>
      <c r="B29" s="10"/>
      <c r="C29" s="11"/>
      <c r="D29" s="10"/>
      <c r="E29" s="12"/>
      <c r="F29" s="13"/>
      <c r="G29" s="10"/>
      <c r="H29" s="14"/>
      <c r="I29" s="14"/>
      <c r="J29" s="14"/>
      <c r="K29" s="15"/>
      <c r="L29" s="15"/>
      <c r="M29" s="15"/>
      <c r="N29" s="15"/>
      <c r="O29" s="12"/>
      <c r="P29" s="14"/>
      <c r="Q29" s="14"/>
      <c r="R29" s="14"/>
      <c r="S29" s="14"/>
      <c r="T29" s="14"/>
      <c r="U29" s="14"/>
      <c r="V29" s="14"/>
      <c r="W29" s="14"/>
    </row>
    <row r="30" customFormat="false" ht="15" hidden="false" customHeight="false" outlineLevel="0" collapsed="false">
      <c r="A30" s="4"/>
      <c r="B30" s="4"/>
      <c r="C30" s="5"/>
      <c r="D30" s="4"/>
      <c r="E30" s="6"/>
      <c r="F30" s="7"/>
      <c r="G30" s="4"/>
      <c r="H30" s="8"/>
      <c r="I30" s="8"/>
      <c r="J30" s="8"/>
      <c r="K30" s="9"/>
      <c r="L30" s="9"/>
      <c r="M30" s="9"/>
      <c r="N30" s="9"/>
      <c r="O30" s="6"/>
      <c r="P30" s="8"/>
      <c r="Q30" s="8"/>
      <c r="R30" s="8"/>
      <c r="S30" s="8"/>
      <c r="T30" s="8"/>
      <c r="U30" s="8"/>
      <c r="V30" s="8"/>
      <c r="W30" s="8"/>
    </row>
    <row r="31" customFormat="false" ht="15" hidden="false" customHeight="false" outlineLevel="0" collapsed="false">
      <c r="A31" s="10"/>
      <c r="B31" s="10"/>
      <c r="C31" s="11"/>
      <c r="D31" s="10"/>
      <c r="E31" s="12"/>
      <c r="F31" s="13"/>
      <c r="G31" s="10"/>
      <c r="H31" s="14"/>
      <c r="I31" s="14"/>
      <c r="J31" s="14"/>
      <c r="K31" s="15"/>
      <c r="L31" s="15"/>
      <c r="M31" s="15"/>
      <c r="N31" s="15"/>
      <c r="O31" s="12"/>
      <c r="P31" s="14"/>
      <c r="Q31" s="14"/>
      <c r="R31" s="14"/>
      <c r="S31" s="14"/>
      <c r="T31" s="14"/>
      <c r="U31" s="14"/>
      <c r="V31" s="14"/>
      <c r="W31" s="14"/>
    </row>
    <row r="32" customFormat="false" ht="15" hidden="false" customHeight="false" outlineLevel="0" collapsed="false">
      <c r="A32" s="4"/>
      <c r="B32" s="4"/>
      <c r="C32" s="5"/>
      <c r="D32" s="4"/>
      <c r="E32" s="6"/>
      <c r="F32" s="7"/>
      <c r="G32" s="4"/>
      <c r="H32" s="8"/>
      <c r="I32" s="8"/>
      <c r="J32" s="8"/>
      <c r="K32" s="9"/>
      <c r="L32" s="9"/>
      <c r="M32" s="9"/>
      <c r="N32" s="9"/>
      <c r="O32" s="6"/>
      <c r="P32" s="8"/>
      <c r="Q32" s="8"/>
      <c r="R32" s="8"/>
      <c r="S32" s="8"/>
      <c r="T32" s="8"/>
      <c r="U32" s="8"/>
      <c r="V32" s="8"/>
      <c r="W32" s="8"/>
    </row>
    <row r="33" customFormat="false" ht="15" hidden="false" customHeight="false" outlineLevel="0" collapsed="false">
      <c r="A33" s="10"/>
      <c r="B33" s="10"/>
      <c r="C33" s="11"/>
      <c r="D33" s="10"/>
      <c r="E33" s="12"/>
      <c r="F33" s="13"/>
      <c r="G33" s="10"/>
      <c r="H33" s="14"/>
      <c r="I33" s="14"/>
      <c r="J33" s="14"/>
      <c r="K33" s="15"/>
      <c r="L33" s="15"/>
      <c r="M33" s="15"/>
      <c r="N33" s="15"/>
      <c r="O33" s="12"/>
      <c r="P33" s="14"/>
      <c r="Q33" s="14"/>
      <c r="R33" s="14"/>
      <c r="S33" s="14"/>
      <c r="T33" s="14"/>
      <c r="U33" s="14"/>
      <c r="V33" s="14"/>
      <c r="W33" s="14"/>
    </row>
    <row r="34" customFormat="false" ht="15" hidden="false" customHeight="false" outlineLevel="0" collapsed="false">
      <c r="A34" s="4"/>
      <c r="B34" s="4"/>
      <c r="C34" s="5"/>
      <c r="D34" s="4"/>
      <c r="E34" s="6"/>
      <c r="F34" s="7"/>
      <c r="G34" s="4"/>
      <c r="H34" s="8"/>
      <c r="I34" s="8"/>
      <c r="J34" s="8"/>
      <c r="K34" s="9"/>
      <c r="L34" s="9"/>
      <c r="M34" s="9"/>
      <c r="N34" s="9"/>
      <c r="O34" s="6"/>
      <c r="P34" s="8"/>
      <c r="Q34" s="8"/>
      <c r="R34" s="8"/>
      <c r="S34" s="8"/>
      <c r="T34" s="8"/>
      <c r="U34" s="8"/>
      <c r="V34" s="8"/>
      <c r="W34" s="8"/>
    </row>
    <row r="35" customFormat="false" ht="15" hidden="false" customHeight="false" outlineLevel="0" collapsed="false">
      <c r="A35" s="10"/>
      <c r="B35" s="10"/>
      <c r="C35" s="11"/>
      <c r="D35" s="10"/>
      <c r="E35" s="12"/>
      <c r="F35" s="13"/>
      <c r="G35" s="10"/>
      <c r="H35" s="14"/>
      <c r="I35" s="14"/>
      <c r="J35" s="14"/>
      <c r="K35" s="15"/>
      <c r="L35" s="15"/>
      <c r="M35" s="15"/>
      <c r="N35" s="15"/>
      <c r="O35" s="12"/>
      <c r="P35" s="14"/>
      <c r="Q35" s="14"/>
      <c r="R35" s="14"/>
      <c r="S35" s="14"/>
      <c r="T35" s="14"/>
      <c r="U35" s="14"/>
      <c r="V35" s="14"/>
      <c r="W35" s="14"/>
    </row>
    <row r="36" customFormat="false" ht="15" hidden="false" customHeight="false" outlineLevel="0" collapsed="false">
      <c r="A36" s="4"/>
      <c r="B36" s="4"/>
      <c r="C36" s="5"/>
      <c r="D36" s="4"/>
      <c r="E36" s="6"/>
      <c r="F36" s="7"/>
      <c r="G36" s="4"/>
      <c r="H36" s="8"/>
      <c r="I36" s="8"/>
      <c r="J36" s="8"/>
      <c r="K36" s="9"/>
      <c r="L36" s="9"/>
      <c r="M36" s="9"/>
      <c r="N36" s="9"/>
      <c r="O36" s="6"/>
      <c r="P36" s="8"/>
      <c r="Q36" s="8"/>
      <c r="R36" s="8"/>
      <c r="S36" s="8"/>
      <c r="T36" s="8"/>
      <c r="U36" s="8"/>
      <c r="V36" s="8"/>
      <c r="W36" s="8"/>
    </row>
    <row r="37" customFormat="false" ht="15" hidden="false" customHeight="false" outlineLevel="0" collapsed="false">
      <c r="A37" s="10"/>
      <c r="B37" s="10"/>
      <c r="C37" s="11"/>
      <c r="D37" s="10"/>
      <c r="E37" s="12"/>
      <c r="F37" s="13"/>
      <c r="G37" s="10"/>
      <c r="H37" s="14"/>
      <c r="I37" s="14"/>
      <c r="J37" s="14"/>
      <c r="K37" s="15"/>
      <c r="L37" s="15"/>
      <c r="M37" s="15"/>
      <c r="N37" s="15"/>
      <c r="O37" s="12"/>
      <c r="P37" s="14"/>
      <c r="Q37" s="14"/>
      <c r="R37" s="14"/>
      <c r="S37" s="14"/>
      <c r="T37" s="14"/>
      <c r="U37" s="14"/>
      <c r="V37" s="14"/>
      <c r="W37" s="14"/>
    </row>
    <row r="38" customFormat="false" ht="15" hidden="false" customHeight="false" outlineLevel="0" collapsed="false">
      <c r="A38" s="4"/>
      <c r="B38" s="4"/>
      <c r="C38" s="5"/>
      <c r="D38" s="4"/>
      <c r="E38" s="6"/>
      <c r="F38" s="7"/>
      <c r="G38" s="4"/>
      <c r="H38" s="8"/>
      <c r="I38" s="8"/>
      <c r="J38" s="8"/>
      <c r="K38" s="9"/>
      <c r="L38" s="9"/>
      <c r="M38" s="9"/>
      <c r="N38" s="9"/>
      <c r="O38" s="6"/>
      <c r="P38" s="8"/>
      <c r="Q38" s="8"/>
      <c r="R38" s="8"/>
      <c r="S38" s="8"/>
      <c r="T38" s="8"/>
      <c r="U38" s="8"/>
      <c r="V38" s="8"/>
      <c r="W38" s="8"/>
    </row>
    <row r="39" customFormat="false" ht="15" hidden="false" customHeight="false" outlineLevel="0" collapsed="false">
      <c r="A39" s="10"/>
      <c r="B39" s="10"/>
      <c r="C39" s="11"/>
      <c r="D39" s="10"/>
      <c r="E39" s="12"/>
      <c r="F39" s="13"/>
      <c r="G39" s="10"/>
      <c r="H39" s="14"/>
      <c r="I39" s="14"/>
      <c r="J39" s="14"/>
      <c r="K39" s="15"/>
      <c r="L39" s="15"/>
      <c r="M39" s="15"/>
      <c r="N39" s="15"/>
      <c r="O39" s="12"/>
      <c r="P39" s="14"/>
      <c r="Q39" s="14"/>
      <c r="R39" s="14"/>
      <c r="S39" s="14"/>
      <c r="T39" s="14"/>
      <c r="U39" s="14"/>
      <c r="V39" s="14"/>
      <c r="W39" s="14"/>
    </row>
    <row r="40" customFormat="false" ht="15" hidden="false" customHeight="false" outlineLevel="0" collapsed="false">
      <c r="A40" s="4"/>
      <c r="B40" s="4"/>
      <c r="C40" s="5"/>
      <c r="D40" s="4"/>
      <c r="E40" s="6"/>
      <c r="F40" s="7"/>
      <c r="G40" s="4"/>
      <c r="H40" s="8"/>
      <c r="I40" s="8"/>
      <c r="J40" s="8"/>
      <c r="K40" s="9"/>
      <c r="L40" s="9"/>
      <c r="M40" s="9"/>
      <c r="N40" s="9"/>
      <c r="O40" s="6"/>
      <c r="P40" s="8"/>
      <c r="Q40" s="8"/>
      <c r="R40" s="8"/>
      <c r="S40" s="8"/>
      <c r="T40" s="8"/>
      <c r="U40" s="8"/>
      <c r="V40" s="8"/>
      <c r="W40" s="8"/>
    </row>
    <row r="41" customFormat="false" ht="15" hidden="false" customHeight="false" outlineLevel="0" collapsed="false">
      <c r="A41" s="10"/>
      <c r="B41" s="10"/>
      <c r="C41" s="11"/>
      <c r="D41" s="10"/>
      <c r="E41" s="12"/>
      <c r="F41" s="13"/>
      <c r="G41" s="10"/>
      <c r="H41" s="14"/>
      <c r="I41" s="14"/>
      <c r="J41" s="14"/>
      <c r="K41" s="15"/>
      <c r="L41" s="15"/>
      <c r="M41" s="15"/>
      <c r="N41" s="15"/>
      <c r="O41" s="12"/>
      <c r="P41" s="14"/>
      <c r="Q41" s="14"/>
      <c r="R41" s="14"/>
      <c r="S41" s="14"/>
      <c r="T41" s="14"/>
      <c r="U41" s="14"/>
      <c r="V41" s="14"/>
      <c r="W41" s="14"/>
    </row>
    <row r="42" customFormat="false" ht="15" hidden="false" customHeight="false" outlineLevel="0" collapsed="false">
      <c r="A42" s="4"/>
      <c r="B42" s="4"/>
      <c r="C42" s="5"/>
      <c r="D42" s="4"/>
      <c r="E42" s="6"/>
      <c r="F42" s="7"/>
      <c r="G42" s="4"/>
      <c r="H42" s="8"/>
      <c r="I42" s="8"/>
      <c r="J42" s="8"/>
      <c r="K42" s="9"/>
      <c r="L42" s="9"/>
      <c r="M42" s="9"/>
      <c r="N42" s="9"/>
      <c r="O42" s="6"/>
      <c r="P42" s="8"/>
      <c r="Q42" s="8"/>
      <c r="R42" s="8"/>
      <c r="S42" s="8"/>
      <c r="T42" s="8"/>
      <c r="U42" s="8"/>
      <c r="V42" s="8"/>
      <c r="W42" s="8"/>
    </row>
    <row r="43" customFormat="false" ht="15" hidden="false" customHeight="false" outlineLevel="0" collapsed="false">
      <c r="A43" s="10"/>
      <c r="B43" s="10"/>
      <c r="C43" s="11"/>
      <c r="D43" s="10"/>
      <c r="E43" s="12"/>
      <c r="F43" s="13"/>
      <c r="G43" s="10"/>
      <c r="H43" s="14"/>
      <c r="I43" s="14"/>
      <c r="J43" s="14"/>
      <c r="K43" s="15"/>
      <c r="L43" s="15"/>
      <c r="M43" s="15"/>
      <c r="N43" s="15"/>
      <c r="O43" s="12"/>
      <c r="P43" s="14"/>
      <c r="Q43" s="14"/>
      <c r="R43" s="14"/>
      <c r="S43" s="14"/>
      <c r="T43" s="14"/>
      <c r="U43" s="14"/>
      <c r="V43" s="14"/>
      <c r="W43" s="14"/>
    </row>
    <row r="44" customFormat="false" ht="15" hidden="false" customHeight="false" outlineLevel="0" collapsed="false">
      <c r="A44" s="4"/>
      <c r="B44" s="4"/>
      <c r="C44" s="5"/>
      <c r="D44" s="4"/>
      <c r="E44" s="6"/>
      <c r="F44" s="7"/>
      <c r="G44" s="4"/>
      <c r="H44" s="8"/>
      <c r="I44" s="8"/>
      <c r="J44" s="8"/>
      <c r="K44" s="9"/>
      <c r="L44" s="9"/>
      <c r="M44" s="9"/>
      <c r="N44" s="9"/>
      <c r="O44" s="6"/>
      <c r="P44" s="8"/>
      <c r="Q44" s="8"/>
      <c r="R44" s="8"/>
      <c r="S44" s="8"/>
      <c r="T44" s="8"/>
      <c r="U44" s="8"/>
      <c r="V44" s="8"/>
      <c r="W44" s="8"/>
    </row>
    <row r="45" customFormat="false" ht="15" hidden="false" customHeight="false" outlineLevel="0" collapsed="false">
      <c r="A45" s="10"/>
      <c r="B45" s="10"/>
      <c r="C45" s="11"/>
      <c r="D45" s="10"/>
      <c r="E45" s="12"/>
      <c r="F45" s="13"/>
      <c r="G45" s="10"/>
      <c r="H45" s="14"/>
      <c r="I45" s="14"/>
      <c r="J45" s="14"/>
      <c r="K45" s="15"/>
      <c r="L45" s="15"/>
      <c r="M45" s="15"/>
      <c r="N45" s="15"/>
      <c r="O45" s="12"/>
      <c r="P45" s="14"/>
      <c r="Q45" s="14"/>
      <c r="R45" s="14"/>
      <c r="S45" s="14"/>
      <c r="T45" s="14"/>
      <c r="U45" s="14"/>
      <c r="V45" s="14"/>
      <c r="W45" s="14"/>
    </row>
    <row r="46" customFormat="false" ht="15" hidden="false" customHeight="false" outlineLevel="0" collapsed="false">
      <c r="A46" s="4"/>
      <c r="B46" s="4"/>
      <c r="C46" s="5"/>
      <c r="D46" s="4"/>
      <c r="E46" s="6"/>
      <c r="F46" s="7"/>
      <c r="G46" s="4"/>
      <c r="H46" s="8"/>
      <c r="I46" s="8"/>
      <c r="J46" s="8"/>
      <c r="K46" s="9"/>
      <c r="L46" s="9"/>
      <c r="M46" s="9"/>
      <c r="N46" s="9"/>
      <c r="O46" s="6"/>
      <c r="P46" s="8"/>
      <c r="Q46" s="8"/>
      <c r="R46" s="8"/>
      <c r="S46" s="8"/>
      <c r="T46" s="8"/>
      <c r="U46" s="8"/>
      <c r="V46" s="8"/>
      <c r="W46" s="8"/>
    </row>
    <row r="47" customFormat="false" ht="15" hidden="false" customHeight="false" outlineLevel="0" collapsed="false">
      <c r="A47" s="10"/>
      <c r="B47" s="10"/>
      <c r="C47" s="11"/>
      <c r="D47" s="10"/>
      <c r="E47" s="12"/>
      <c r="F47" s="13"/>
      <c r="G47" s="10"/>
      <c r="H47" s="14"/>
      <c r="I47" s="14"/>
      <c r="J47" s="14"/>
      <c r="K47" s="15"/>
      <c r="L47" s="15"/>
      <c r="M47" s="15"/>
      <c r="N47" s="15"/>
      <c r="O47" s="12"/>
      <c r="P47" s="14"/>
      <c r="Q47" s="14"/>
      <c r="R47" s="14"/>
      <c r="S47" s="14"/>
      <c r="T47" s="14"/>
      <c r="U47" s="14"/>
      <c r="V47" s="14"/>
      <c r="W47" s="14"/>
    </row>
    <row r="48" customFormat="false" ht="15" hidden="false" customHeight="false" outlineLevel="0" collapsed="false">
      <c r="A48" s="4"/>
      <c r="B48" s="4"/>
      <c r="C48" s="5"/>
      <c r="D48" s="4"/>
      <c r="E48" s="6"/>
      <c r="F48" s="7"/>
      <c r="G48" s="4"/>
      <c r="H48" s="8"/>
      <c r="I48" s="8"/>
      <c r="J48" s="8"/>
      <c r="K48" s="9"/>
      <c r="L48" s="9"/>
      <c r="M48" s="9"/>
      <c r="N48" s="9"/>
      <c r="O48" s="6"/>
      <c r="P48" s="8"/>
      <c r="Q48" s="8"/>
      <c r="R48" s="8"/>
      <c r="S48" s="8"/>
      <c r="T48" s="8"/>
      <c r="U48" s="8"/>
      <c r="V48" s="8"/>
      <c r="W48" s="8"/>
    </row>
    <row r="49" customFormat="false" ht="15" hidden="false" customHeight="false" outlineLevel="0" collapsed="false">
      <c r="A49" s="10"/>
      <c r="B49" s="10"/>
      <c r="C49" s="11"/>
      <c r="D49" s="10"/>
      <c r="E49" s="12"/>
      <c r="F49" s="13"/>
      <c r="G49" s="10"/>
      <c r="H49" s="14"/>
      <c r="I49" s="14"/>
      <c r="J49" s="14"/>
      <c r="K49" s="15"/>
      <c r="L49" s="15"/>
      <c r="M49" s="15"/>
      <c r="N49" s="15"/>
      <c r="O49" s="12"/>
      <c r="P49" s="14"/>
      <c r="Q49" s="14"/>
      <c r="R49" s="14"/>
      <c r="S49" s="14"/>
      <c r="T49" s="14"/>
      <c r="U49" s="14"/>
      <c r="V49" s="14"/>
      <c r="W49" s="14"/>
    </row>
    <row r="50" customFormat="false" ht="15" hidden="false" customHeight="false" outlineLevel="0" collapsed="false">
      <c r="A50" s="4"/>
      <c r="B50" s="4"/>
      <c r="C50" s="5"/>
      <c r="D50" s="4"/>
      <c r="E50" s="6"/>
      <c r="F50" s="7"/>
      <c r="G50" s="4"/>
      <c r="H50" s="8"/>
      <c r="I50" s="8"/>
      <c r="J50" s="8"/>
      <c r="K50" s="9"/>
      <c r="L50" s="9"/>
      <c r="M50" s="9"/>
      <c r="N50" s="9"/>
      <c r="O50" s="6"/>
      <c r="P50" s="8"/>
      <c r="Q50" s="8"/>
      <c r="R50" s="8"/>
      <c r="S50" s="8"/>
      <c r="T50" s="8"/>
      <c r="U50" s="8"/>
      <c r="V50" s="8"/>
      <c r="W50" s="8"/>
    </row>
    <row r="51" customFormat="false" ht="15" hidden="false" customHeight="false" outlineLevel="0" collapsed="false">
      <c r="A51" s="10"/>
      <c r="B51" s="10"/>
      <c r="C51" s="11"/>
      <c r="D51" s="10"/>
      <c r="E51" s="12"/>
      <c r="F51" s="13"/>
      <c r="G51" s="10"/>
      <c r="H51" s="14"/>
      <c r="I51" s="14"/>
      <c r="J51" s="14"/>
      <c r="K51" s="15"/>
      <c r="L51" s="15"/>
      <c r="M51" s="15"/>
      <c r="N51" s="15"/>
      <c r="O51" s="12"/>
      <c r="P51" s="14"/>
      <c r="Q51" s="14"/>
      <c r="R51" s="14"/>
      <c r="S51" s="14"/>
      <c r="T51" s="14"/>
      <c r="U51" s="14"/>
      <c r="V51" s="14"/>
      <c r="W51" s="14"/>
    </row>
    <row r="52" customFormat="false" ht="15" hidden="false" customHeight="false" outlineLevel="0" collapsed="false">
      <c r="A52" s="4"/>
      <c r="B52" s="4"/>
      <c r="C52" s="5"/>
      <c r="D52" s="4"/>
      <c r="E52" s="6"/>
      <c r="F52" s="7"/>
      <c r="G52" s="4"/>
      <c r="H52" s="8"/>
      <c r="I52" s="8"/>
      <c r="J52" s="8"/>
      <c r="K52" s="9"/>
      <c r="L52" s="9"/>
      <c r="M52" s="9"/>
      <c r="N52" s="9"/>
      <c r="O52" s="6"/>
      <c r="P52" s="8"/>
      <c r="Q52" s="8"/>
      <c r="R52" s="8"/>
      <c r="S52" s="8"/>
      <c r="T52" s="8"/>
      <c r="U52" s="8"/>
      <c r="V52" s="8"/>
      <c r="W52" s="8"/>
    </row>
    <row r="53" customFormat="false" ht="15" hidden="false" customHeight="false" outlineLevel="0" collapsed="false">
      <c r="A53" s="10"/>
      <c r="B53" s="10"/>
      <c r="C53" s="11"/>
      <c r="D53" s="10"/>
      <c r="E53" s="12"/>
      <c r="F53" s="13"/>
      <c r="G53" s="10"/>
      <c r="H53" s="14"/>
      <c r="I53" s="14"/>
      <c r="J53" s="14"/>
      <c r="K53" s="15"/>
      <c r="L53" s="15"/>
      <c r="M53" s="15"/>
      <c r="N53" s="15"/>
      <c r="O53" s="12"/>
      <c r="P53" s="14"/>
      <c r="Q53" s="14"/>
      <c r="R53" s="14"/>
      <c r="S53" s="14"/>
      <c r="T53" s="14"/>
      <c r="U53" s="14"/>
      <c r="V53" s="14"/>
      <c r="W53" s="14"/>
    </row>
  </sheetData>
  <mergeCells count="2">
    <mergeCell ref="A1:W1"/>
    <mergeCell ref="A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5.5" hidden="false" customHeight="true" outlineLevel="0" collapsed="false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customFormat="false" ht="15" hidden="false" customHeight="false" outlineLevel="0" collapsed="false">
      <c r="A2" s="17" t="s">
        <v>26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22"/>
  </cols>
  <sheetData>
    <row r="1" customFormat="false" ht="25.5" hidden="false" customHeight="true" outlineLevel="0" collapsed="false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15" hidden="false" customHeight="false" outlineLevel="0" collapsed="false">
      <c r="A3" s="18" t="s">
        <v>28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customFormat="false" ht="15" hidden="false" customHeight="false" outlineLevel="0" collapsed="false">
      <c r="B4" s="19" t="s">
        <v>29</v>
      </c>
      <c r="C4" s="20" t="n">
        <v>6</v>
      </c>
      <c r="D4" s="21" t="s">
        <v>30</v>
      </c>
    </row>
    <row r="5" customFormat="false" ht="15" hidden="false" customHeight="false" outlineLevel="0" collapsed="false">
      <c r="B5" s="19" t="s">
        <v>31</v>
      </c>
      <c r="C5" s="22" t="n">
        <v>0.05</v>
      </c>
      <c r="D5" s="21" t="s">
        <v>32</v>
      </c>
    </row>
    <row r="6" customFormat="false" ht="15" hidden="false" customHeight="false" outlineLevel="0" collapsed="false">
      <c r="B6" s="19" t="s">
        <v>33</v>
      </c>
      <c r="C6" s="23" t="n">
        <v>0.95</v>
      </c>
    </row>
    <row r="7" customFormat="false" ht="15" hidden="false" customHeight="false" outlineLevel="0" collapsed="false">
      <c r="B7" s="19" t="s">
        <v>34</v>
      </c>
      <c r="C7" s="24" t="n">
        <v>3</v>
      </c>
    </row>
    <row r="9" customFormat="false" ht="15" hidden="false" customHeight="false" outlineLevel="0" collapsed="false">
      <c r="A9" s="18" t="s">
        <v>35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9.5" hidden="false" customHeight="true" outlineLevel="0" collapsed="false">
      <c r="A10" s="3" t="s">
        <v>36</v>
      </c>
      <c r="B10" s="3" t="s">
        <v>4</v>
      </c>
      <c r="C10" s="3" t="s">
        <v>9</v>
      </c>
      <c r="D10" s="3" t="s">
        <v>10</v>
      </c>
      <c r="E10" s="3" t="s">
        <v>11</v>
      </c>
      <c r="F10" s="3" t="s">
        <v>37</v>
      </c>
      <c r="G10" s="3" t="s">
        <v>38</v>
      </c>
      <c r="H10" s="3" t="s">
        <v>39</v>
      </c>
      <c r="I10" s="3" t="s">
        <v>13</v>
      </c>
      <c r="J10" s="3" t="s">
        <v>14</v>
      </c>
      <c r="K10" s="3" t="s">
        <v>19</v>
      </c>
      <c r="L10" s="3" t="s">
        <v>40</v>
      </c>
    </row>
    <row r="11" customFormat="false" ht="15" hidden="false" customHeight="false" outlineLevel="0" collapsed="false">
      <c r="A11" s="25" t="n">
        <v>1</v>
      </c>
      <c r="B11" s="26" t="str">
        <f aca="false">IF(RAW_DATA!C4&lt;&gt;"",RAW_DATA!C4,"")</f>
        <v/>
      </c>
      <c r="C11" s="27" t="str">
        <f aca="false">IF(RAW_DATA!H4&lt;&gt;"",RAW_DATA!H4,"")</f>
        <v/>
      </c>
      <c r="D11" s="27" t="str">
        <f aca="false">IF(RAW_DATA!I4&lt;&gt;"",RAW_DATA!I4,"")</f>
        <v/>
      </c>
      <c r="E11" s="27" t="str">
        <f aca="false">IF(RAW_DATA!J4&lt;&gt;"",RAW_DATA!J4,"")</f>
        <v/>
      </c>
      <c r="F11" s="28" t="str">
        <f aca="false">IF(AND(C11&lt;&gt;"",D11&lt;&gt;"",D11&lt;&gt;0),C11/D11,"")</f>
        <v/>
      </c>
      <c r="G11" s="29" t="str">
        <f aca="false">IF(C11&lt;&gt;"",IF(C11&gt;$C$5,"ÁNO ← nad reg_error","nie"),"")</f>
        <v/>
      </c>
      <c r="H11" s="28" t="str">
        <f aca="false">IF(RAW_DATA!O4&lt;&gt;"",RAW_DATA!O4,"")</f>
        <v/>
      </c>
      <c r="I11" s="30" t="str">
        <f aca="false">IF(RAW_DATA!L4&lt;&gt;"",RAW_DATA!L4,"")</f>
        <v/>
      </c>
      <c r="J11" s="30" t="str">
        <f aca="false">IF(RAW_DATA!M4&lt;&gt;"",RAW_DATA!M4,"")</f>
        <v/>
      </c>
      <c r="K11" s="27" t="str">
        <f aca="false">IF(RAW_DATA!R4&lt;&gt;"",RAW_DATA!R4,"")</f>
        <v/>
      </c>
      <c r="L11" s="25" t="str">
        <f aca="false">IF(C11="","",IF(AND(C11&gt;$C$5,C10&lt;&gt;"",C10&lt;=$C$5),"← KNEE POINT (σ₁ prekročila reg_error)",IF(C11&lt;=$C$5,"σ₁ pod reg_error","σ₁ nad reg_error")))</f>
        <v/>
      </c>
    </row>
    <row r="12" customFormat="false" ht="15" hidden="false" customHeight="false" outlineLevel="0" collapsed="false">
      <c r="A12" s="31" t="n">
        <v>2</v>
      </c>
      <c r="B12" s="32" t="str">
        <f aca="false">IF(RAW_DATA!C5&lt;&gt;"",RAW_DATA!C5,"")</f>
        <v/>
      </c>
      <c r="C12" s="33" t="str">
        <f aca="false">IF(RAW_DATA!H5&lt;&gt;"",RAW_DATA!H5,"")</f>
        <v/>
      </c>
      <c r="D12" s="33" t="str">
        <f aca="false">IF(RAW_DATA!I5&lt;&gt;"",RAW_DATA!I5,"")</f>
        <v/>
      </c>
      <c r="E12" s="33" t="str">
        <f aca="false">IF(RAW_DATA!J5&lt;&gt;"",RAW_DATA!J5,"")</f>
        <v/>
      </c>
      <c r="F12" s="34" t="str">
        <f aca="false">IF(AND(C12&lt;&gt;"",D12&lt;&gt;"",D12&lt;&gt;0),C12/D12,"")</f>
        <v/>
      </c>
      <c r="G12" s="35" t="str">
        <f aca="false">IF(C12&lt;&gt;"",IF(C12&gt;$C$5,"ÁNO ← nad reg_error","nie"),"")</f>
        <v/>
      </c>
      <c r="H12" s="34" t="str">
        <f aca="false">IF(RAW_DATA!O5&lt;&gt;"",RAW_DATA!O5,"")</f>
        <v/>
      </c>
      <c r="I12" s="36" t="str">
        <f aca="false">IF(RAW_DATA!L5&lt;&gt;"",RAW_DATA!L5,"")</f>
        <v/>
      </c>
      <c r="J12" s="36" t="str">
        <f aca="false">IF(RAW_DATA!M5&lt;&gt;"",RAW_DATA!M5,"")</f>
        <v/>
      </c>
      <c r="K12" s="33" t="str">
        <f aca="false">IF(RAW_DATA!R5&lt;&gt;"",RAW_DATA!R5,"")</f>
        <v/>
      </c>
      <c r="L12" s="31" t="str">
        <f aca="false">IF(C12="","",IF(AND(C12&gt;$C$5,C11&lt;&gt;"",C11&lt;=$C$5),"← KNEE POINT (σ₁ prekročila reg_error)",IF(C12&lt;=$C$5,"σ₁ pod reg_error","σ₁ nad reg_error")))</f>
        <v/>
      </c>
    </row>
    <row r="13" customFormat="false" ht="15" hidden="false" customHeight="false" outlineLevel="0" collapsed="false">
      <c r="A13" s="25" t="n">
        <v>3</v>
      </c>
      <c r="B13" s="26" t="str">
        <f aca="false">IF(RAW_DATA!C6&lt;&gt;"",RAW_DATA!C6,"")</f>
        <v/>
      </c>
      <c r="C13" s="27" t="str">
        <f aca="false">IF(RAW_DATA!H6&lt;&gt;"",RAW_DATA!H6,"")</f>
        <v/>
      </c>
      <c r="D13" s="27" t="str">
        <f aca="false">IF(RAW_DATA!I6&lt;&gt;"",RAW_DATA!I6,"")</f>
        <v/>
      </c>
      <c r="E13" s="27" t="str">
        <f aca="false">IF(RAW_DATA!J6&lt;&gt;"",RAW_DATA!J6,"")</f>
        <v/>
      </c>
      <c r="F13" s="28" t="str">
        <f aca="false">IF(AND(C13&lt;&gt;"",D13&lt;&gt;"",D13&lt;&gt;0),C13/D13,"")</f>
        <v/>
      </c>
      <c r="G13" s="29" t="str">
        <f aca="false">IF(C13&lt;&gt;"",IF(C13&gt;$C$5,"ÁNO ← nad reg_error","nie"),"")</f>
        <v/>
      </c>
      <c r="H13" s="28" t="str">
        <f aca="false">IF(RAW_DATA!O6&lt;&gt;"",RAW_DATA!O6,"")</f>
        <v/>
      </c>
      <c r="I13" s="30" t="str">
        <f aca="false">IF(RAW_DATA!L6&lt;&gt;"",RAW_DATA!L6,"")</f>
        <v/>
      </c>
      <c r="J13" s="30" t="str">
        <f aca="false">IF(RAW_DATA!M6&lt;&gt;"",RAW_DATA!M6,"")</f>
        <v/>
      </c>
      <c r="K13" s="27" t="str">
        <f aca="false">IF(RAW_DATA!R6&lt;&gt;"",RAW_DATA!R6,"")</f>
        <v/>
      </c>
      <c r="L13" s="25" t="str">
        <f aca="false">IF(C13="","",IF(AND(C13&gt;$C$5,C12&lt;&gt;"",C12&lt;=$C$5),"← KNEE POINT (σ₁ prekročila reg_error)",IF(C13&lt;=$C$5,"σ₁ pod reg_error","σ₁ nad reg_error")))</f>
        <v/>
      </c>
    </row>
    <row r="14" customFormat="false" ht="15" hidden="false" customHeight="false" outlineLevel="0" collapsed="false">
      <c r="A14" s="31" t="n">
        <v>4</v>
      </c>
      <c r="B14" s="32" t="str">
        <f aca="false">IF(RAW_DATA!C7&lt;&gt;"",RAW_DATA!C7,"")</f>
        <v/>
      </c>
      <c r="C14" s="33" t="str">
        <f aca="false">IF(RAW_DATA!H7&lt;&gt;"",RAW_DATA!H7,"")</f>
        <v/>
      </c>
      <c r="D14" s="33" t="str">
        <f aca="false">IF(RAW_DATA!I7&lt;&gt;"",RAW_DATA!I7,"")</f>
        <v/>
      </c>
      <c r="E14" s="33" t="str">
        <f aca="false">IF(RAW_DATA!J7&lt;&gt;"",RAW_DATA!J7,"")</f>
        <v/>
      </c>
      <c r="F14" s="34" t="str">
        <f aca="false">IF(AND(C14&lt;&gt;"",D14&lt;&gt;"",D14&lt;&gt;0),C14/D14,"")</f>
        <v/>
      </c>
      <c r="G14" s="35" t="str">
        <f aca="false">IF(C14&lt;&gt;"",IF(C14&gt;$C$5,"ÁNO ← nad reg_error","nie"),"")</f>
        <v/>
      </c>
      <c r="H14" s="34" t="str">
        <f aca="false">IF(RAW_DATA!O7&lt;&gt;"",RAW_DATA!O7,"")</f>
        <v/>
      </c>
      <c r="I14" s="36" t="str">
        <f aca="false">IF(RAW_DATA!L7&lt;&gt;"",RAW_DATA!L7,"")</f>
        <v/>
      </c>
      <c r="J14" s="36" t="str">
        <f aca="false">IF(RAW_DATA!M7&lt;&gt;"",RAW_DATA!M7,"")</f>
        <v/>
      </c>
      <c r="K14" s="33" t="str">
        <f aca="false">IF(RAW_DATA!R7&lt;&gt;"",RAW_DATA!R7,"")</f>
        <v/>
      </c>
      <c r="L14" s="31" t="str">
        <f aca="false">IF(C14="","",IF(AND(C14&gt;$C$5,C13&lt;&gt;"",C13&lt;=$C$5),"← KNEE POINT (σ₁ prekročila reg_error)",IF(C14&lt;=$C$5,"σ₁ pod reg_error","σ₁ nad reg_error")))</f>
        <v/>
      </c>
    </row>
    <row r="15" customFormat="false" ht="15" hidden="false" customHeight="false" outlineLevel="0" collapsed="false">
      <c r="A15" s="25" t="n">
        <v>5</v>
      </c>
      <c r="B15" s="26" t="str">
        <f aca="false">IF(RAW_DATA!C8&lt;&gt;"",RAW_DATA!C8,"")</f>
        <v/>
      </c>
      <c r="C15" s="27" t="str">
        <f aca="false">IF(RAW_DATA!H8&lt;&gt;"",RAW_DATA!H8,"")</f>
        <v/>
      </c>
      <c r="D15" s="27" t="str">
        <f aca="false">IF(RAW_DATA!I8&lt;&gt;"",RAW_DATA!I8,"")</f>
        <v/>
      </c>
      <c r="E15" s="27" t="str">
        <f aca="false">IF(RAW_DATA!J8&lt;&gt;"",RAW_DATA!J8,"")</f>
        <v/>
      </c>
      <c r="F15" s="28" t="str">
        <f aca="false">IF(AND(C15&lt;&gt;"",D15&lt;&gt;"",D15&lt;&gt;0),C15/D15,"")</f>
        <v/>
      </c>
      <c r="G15" s="29" t="str">
        <f aca="false">IF(C15&lt;&gt;"",IF(C15&gt;$C$5,"ÁNO ← nad reg_error","nie"),"")</f>
        <v/>
      </c>
      <c r="H15" s="28" t="str">
        <f aca="false">IF(RAW_DATA!O8&lt;&gt;"",RAW_DATA!O8,"")</f>
        <v/>
      </c>
      <c r="I15" s="30" t="str">
        <f aca="false">IF(RAW_DATA!L8&lt;&gt;"",RAW_DATA!L8,"")</f>
        <v/>
      </c>
      <c r="J15" s="30" t="str">
        <f aca="false">IF(RAW_DATA!M8&lt;&gt;"",RAW_DATA!M8,"")</f>
        <v/>
      </c>
      <c r="K15" s="27" t="str">
        <f aca="false">IF(RAW_DATA!R8&lt;&gt;"",RAW_DATA!R8,"")</f>
        <v/>
      </c>
      <c r="L15" s="25" t="str">
        <f aca="false">IF(C15="","",IF(AND(C15&gt;$C$5,C14&lt;&gt;"",C14&lt;=$C$5),"← KNEE POINT (σ₁ prekročila reg_error)",IF(C15&lt;=$C$5,"σ₁ pod reg_error","σ₁ nad reg_error")))</f>
        <v/>
      </c>
    </row>
    <row r="16" customFormat="false" ht="15" hidden="false" customHeight="false" outlineLevel="0" collapsed="false">
      <c r="A16" s="31" t="n">
        <v>6</v>
      </c>
      <c r="B16" s="32" t="str">
        <f aca="false">IF(RAW_DATA!C9&lt;&gt;"",RAW_DATA!C9,"")</f>
        <v/>
      </c>
      <c r="C16" s="33" t="str">
        <f aca="false">IF(RAW_DATA!H9&lt;&gt;"",RAW_DATA!H9,"")</f>
        <v/>
      </c>
      <c r="D16" s="33" t="str">
        <f aca="false">IF(RAW_DATA!I9&lt;&gt;"",RAW_DATA!I9,"")</f>
        <v/>
      </c>
      <c r="E16" s="33" t="str">
        <f aca="false">IF(RAW_DATA!J9&lt;&gt;"",RAW_DATA!J9,"")</f>
        <v/>
      </c>
      <c r="F16" s="34" t="str">
        <f aca="false">IF(AND(C16&lt;&gt;"",D16&lt;&gt;"",D16&lt;&gt;0),C16/D16,"")</f>
        <v/>
      </c>
      <c r="G16" s="35" t="str">
        <f aca="false">IF(C16&lt;&gt;"",IF(C16&gt;$C$5,"ÁNO ← nad reg_error","nie"),"")</f>
        <v/>
      </c>
      <c r="H16" s="34" t="str">
        <f aca="false">IF(RAW_DATA!O9&lt;&gt;"",RAW_DATA!O9,"")</f>
        <v/>
      </c>
      <c r="I16" s="36" t="str">
        <f aca="false">IF(RAW_DATA!L9&lt;&gt;"",RAW_DATA!L9,"")</f>
        <v/>
      </c>
      <c r="J16" s="36" t="str">
        <f aca="false">IF(RAW_DATA!M9&lt;&gt;"",RAW_DATA!M9,"")</f>
        <v/>
      </c>
      <c r="K16" s="33" t="str">
        <f aca="false">IF(RAW_DATA!R9&lt;&gt;"",RAW_DATA!R9,"")</f>
        <v/>
      </c>
      <c r="L16" s="31" t="str">
        <f aca="false">IF(C16="","",IF(AND(C16&gt;$C$5,C15&lt;&gt;"",C15&lt;=$C$5),"← KNEE POINT (σ₁ prekročila reg_error)",IF(C16&lt;=$C$5,"σ₁ pod reg_error","σ₁ nad reg_error")))</f>
        <v/>
      </c>
    </row>
    <row r="17" customFormat="false" ht="15" hidden="false" customHeight="false" outlineLevel="0" collapsed="false">
      <c r="A17" s="25" t="n">
        <v>7</v>
      </c>
      <c r="B17" s="26" t="str">
        <f aca="false">IF(RAW_DATA!C10&lt;&gt;"",RAW_DATA!C10,"")</f>
        <v/>
      </c>
      <c r="C17" s="27" t="str">
        <f aca="false">IF(RAW_DATA!H10&lt;&gt;"",RAW_DATA!H10,"")</f>
        <v/>
      </c>
      <c r="D17" s="27" t="str">
        <f aca="false">IF(RAW_DATA!I10&lt;&gt;"",RAW_DATA!I10,"")</f>
        <v/>
      </c>
      <c r="E17" s="27" t="str">
        <f aca="false">IF(RAW_DATA!J10&lt;&gt;"",RAW_DATA!J10,"")</f>
        <v/>
      </c>
      <c r="F17" s="28" t="str">
        <f aca="false">IF(AND(C17&lt;&gt;"",D17&lt;&gt;"",D17&lt;&gt;0),C17/D17,"")</f>
        <v/>
      </c>
      <c r="G17" s="29" t="str">
        <f aca="false">IF(C17&lt;&gt;"",IF(C17&gt;$C$5,"ÁNO ← nad reg_error","nie"),"")</f>
        <v/>
      </c>
      <c r="H17" s="28" t="str">
        <f aca="false">IF(RAW_DATA!O10&lt;&gt;"",RAW_DATA!O10,"")</f>
        <v/>
      </c>
      <c r="I17" s="30" t="str">
        <f aca="false">IF(RAW_DATA!L10&lt;&gt;"",RAW_DATA!L10,"")</f>
        <v/>
      </c>
      <c r="J17" s="30" t="str">
        <f aca="false">IF(RAW_DATA!M10&lt;&gt;"",RAW_DATA!M10,"")</f>
        <v/>
      </c>
      <c r="K17" s="27" t="str">
        <f aca="false">IF(RAW_DATA!R10&lt;&gt;"",RAW_DATA!R10,"")</f>
        <v/>
      </c>
      <c r="L17" s="25" t="str">
        <f aca="false">IF(C17="","",IF(AND(C17&gt;$C$5,C16&lt;&gt;"",C16&lt;=$C$5),"← KNEE POINT (σ₁ prekročila reg_error)",IF(C17&lt;=$C$5,"σ₁ pod reg_error","σ₁ nad reg_error")))</f>
        <v/>
      </c>
    </row>
    <row r="18" customFormat="false" ht="15" hidden="false" customHeight="false" outlineLevel="0" collapsed="false">
      <c r="A18" s="31" t="n">
        <v>8</v>
      </c>
      <c r="B18" s="32" t="str">
        <f aca="false">IF(RAW_DATA!C11&lt;&gt;"",RAW_DATA!C11,"")</f>
        <v/>
      </c>
      <c r="C18" s="33" t="str">
        <f aca="false">IF(RAW_DATA!H11&lt;&gt;"",RAW_DATA!H11,"")</f>
        <v/>
      </c>
      <c r="D18" s="33" t="str">
        <f aca="false">IF(RAW_DATA!I11&lt;&gt;"",RAW_DATA!I11,"")</f>
        <v/>
      </c>
      <c r="E18" s="33" t="str">
        <f aca="false">IF(RAW_DATA!J11&lt;&gt;"",RAW_DATA!J11,"")</f>
        <v/>
      </c>
      <c r="F18" s="34" t="str">
        <f aca="false">IF(AND(C18&lt;&gt;"",D18&lt;&gt;"",D18&lt;&gt;0),C18/D18,"")</f>
        <v/>
      </c>
      <c r="G18" s="35" t="str">
        <f aca="false">IF(C18&lt;&gt;"",IF(C18&gt;$C$5,"ÁNO ← nad reg_error","nie"),"")</f>
        <v/>
      </c>
      <c r="H18" s="34" t="str">
        <f aca="false">IF(RAW_DATA!O11&lt;&gt;"",RAW_DATA!O11,"")</f>
        <v/>
      </c>
      <c r="I18" s="36" t="str">
        <f aca="false">IF(RAW_DATA!L11&lt;&gt;"",RAW_DATA!L11,"")</f>
        <v/>
      </c>
      <c r="J18" s="36" t="str">
        <f aca="false">IF(RAW_DATA!M11&lt;&gt;"",RAW_DATA!M11,"")</f>
        <v/>
      </c>
      <c r="K18" s="33" t="str">
        <f aca="false">IF(RAW_DATA!R11&lt;&gt;"",RAW_DATA!R11,"")</f>
        <v/>
      </c>
      <c r="L18" s="31" t="str">
        <f aca="false">IF(C18="","",IF(AND(C18&gt;$C$5,C17&lt;&gt;"",C17&lt;=$C$5),"← KNEE POINT (σ₁ prekročila reg_error)",IF(C18&lt;=$C$5,"σ₁ pod reg_error","σ₁ nad reg_error")))</f>
        <v/>
      </c>
    </row>
    <row r="19" customFormat="false" ht="15" hidden="false" customHeight="false" outlineLevel="0" collapsed="false">
      <c r="A19" s="25" t="n">
        <v>9</v>
      </c>
      <c r="B19" s="26" t="str">
        <f aca="false">IF(RAW_DATA!C12&lt;&gt;"",RAW_DATA!C12,"")</f>
        <v/>
      </c>
      <c r="C19" s="27" t="str">
        <f aca="false">IF(RAW_DATA!H12&lt;&gt;"",RAW_DATA!H12,"")</f>
        <v/>
      </c>
      <c r="D19" s="27" t="str">
        <f aca="false">IF(RAW_DATA!I12&lt;&gt;"",RAW_DATA!I12,"")</f>
        <v/>
      </c>
      <c r="E19" s="27" t="str">
        <f aca="false">IF(RAW_DATA!J12&lt;&gt;"",RAW_DATA!J12,"")</f>
        <v/>
      </c>
      <c r="F19" s="28" t="str">
        <f aca="false">IF(AND(C19&lt;&gt;"",D19&lt;&gt;"",D19&lt;&gt;0),C19/D19,"")</f>
        <v/>
      </c>
      <c r="G19" s="29" t="str">
        <f aca="false">IF(C19&lt;&gt;"",IF(C19&gt;$C$5,"ÁNO ← nad reg_error","nie"),"")</f>
        <v/>
      </c>
      <c r="H19" s="28" t="str">
        <f aca="false">IF(RAW_DATA!O12&lt;&gt;"",RAW_DATA!O12,"")</f>
        <v/>
      </c>
      <c r="I19" s="30" t="str">
        <f aca="false">IF(RAW_DATA!L12&lt;&gt;"",RAW_DATA!L12,"")</f>
        <v/>
      </c>
      <c r="J19" s="30" t="str">
        <f aca="false">IF(RAW_DATA!M12&lt;&gt;"",RAW_DATA!M12,"")</f>
        <v/>
      </c>
      <c r="K19" s="27" t="str">
        <f aca="false">IF(RAW_DATA!R12&lt;&gt;"",RAW_DATA!R12,"")</f>
        <v/>
      </c>
      <c r="L19" s="25" t="str">
        <f aca="false">IF(C19="","",IF(AND(C19&gt;$C$5,C18&lt;&gt;"",C18&lt;=$C$5),"← KNEE POINT (σ₁ prekročila reg_error)",IF(C19&lt;=$C$5,"σ₁ pod reg_error","σ₁ nad reg_error")))</f>
        <v/>
      </c>
    </row>
    <row r="20" customFormat="false" ht="15" hidden="false" customHeight="false" outlineLevel="0" collapsed="false">
      <c r="A20" s="31" t="n">
        <v>10</v>
      </c>
      <c r="B20" s="32" t="str">
        <f aca="false">IF(RAW_DATA!C13&lt;&gt;"",RAW_DATA!C13,"")</f>
        <v/>
      </c>
      <c r="C20" s="33" t="str">
        <f aca="false">IF(RAW_DATA!H13&lt;&gt;"",RAW_DATA!H13,"")</f>
        <v/>
      </c>
      <c r="D20" s="33" t="str">
        <f aca="false">IF(RAW_DATA!I13&lt;&gt;"",RAW_DATA!I13,"")</f>
        <v/>
      </c>
      <c r="E20" s="33" t="str">
        <f aca="false">IF(RAW_DATA!J13&lt;&gt;"",RAW_DATA!J13,"")</f>
        <v/>
      </c>
      <c r="F20" s="34" t="str">
        <f aca="false">IF(AND(C20&lt;&gt;"",D20&lt;&gt;"",D20&lt;&gt;0),C20/D20,"")</f>
        <v/>
      </c>
      <c r="G20" s="35" t="str">
        <f aca="false">IF(C20&lt;&gt;"",IF(C20&gt;$C$5,"ÁNO ← nad reg_error","nie"),"")</f>
        <v/>
      </c>
      <c r="H20" s="34" t="str">
        <f aca="false">IF(RAW_DATA!O13&lt;&gt;"",RAW_DATA!O13,"")</f>
        <v/>
      </c>
      <c r="I20" s="36" t="str">
        <f aca="false">IF(RAW_DATA!L13&lt;&gt;"",RAW_DATA!L13,"")</f>
        <v/>
      </c>
      <c r="J20" s="36" t="str">
        <f aca="false">IF(RAW_DATA!M13&lt;&gt;"",RAW_DATA!M13,"")</f>
        <v/>
      </c>
      <c r="K20" s="33" t="str">
        <f aca="false">IF(RAW_DATA!R13&lt;&gt;"",RAW_DATA!R13,"")</f>
        <v/>
      </c>
      <c r="L20" s="31" t="str">
        <f aca="false">IF(C20="","",IF(AND(C20&gt;$C$5,C19&lt;&gt;"",C19&lt;=$C$5),"← KNEE POINT (σ₁ prekročila reg_error)",IF(C20&lt;=$C$5,"σ₁ pod reg_error","σ₁ nad reg_error")))</f>
        <v/>
      </c>
    </row>
    <row r="21" customFormat="false" ht="15" hidden="false" customHeight="false" outlineLevel="0" collapsed="false">
      <c r="A21" s="25" t="n">
        <v>11</v>
      </c>
      <c r="B21" s="26" t="str">
        <f aca="false">IF(RAW_DATA!C14&lt;&gt;"",RAW_DATA!C14,"")</f>
        <v/>
      </c>
      <c r="C21" s="27" t="str">
        <f aca="false">IF(RAW_DATA!H14&lt;&gt;"",RAW_DATA!H14,"")</f>
        <v/>
      </c>
      <c r="D21" s="27" t="str">
        <f aca="false">IF(RAW_DATA!I14&lt;&gt;"",RAW_DATA!I14,"")</f>
        <v/>
      </c>
      <c r="E21" s="27" t="str">
        <f aca="false">IF(RAW_DATA!J14&lt;&gt;"",RAW_DATA!J14,"")</f>
        <v/>
      </c>
      <c r="F21" s="28" t="str">
        <f aca="false">IF(AND(C21&lt;&gt;"",D21&lt;&gt;"",D21&lt;&gt;0),C21/D21,"")</f>
        <v/>
      </c>
      <c r="G21" s="29" t="str">
        <f aca="false">IF(C21&lt;&gt;"",IF(C21&gt;$C$5,"ÁNO ← nad reg_error","nie"),"")</f>
        <v/>
      </c>
      <c r="H21" s="28" t="str">
        <f aca="false">IF(RAW_DATA!O14&lt;&gt;"",RAW_DATA!O14,"")</f>
        <v/>
      </c>
      <c r="I21" s="30" t="str">
        <f aca="false">IF(RAW_DATA!L14&lt;&gt;"",RAW_DATA!L14,"")</f>
        <v/>
      </c>
      <c r="J21" s="30" t="str">
        <f aca="false">IF(RAW_DATA!M14&lt;&gt;"",RAW_DATA!M14,"")</f>
        <v/>
      </c>
      <c r="K21" s="27" t="str">
        <f aca="false">IF(RAW_DATA!R14&lt;&gt;"",RAW_DATA!R14,"")</f>
        <v/>
      </c>
      <c r="L21" s="25" t="str">
        <f aca="false">IF(C21="","",IF(AND(C21&gt;$C$5,C20&lt;&gt;"",C20&lt;=$C$5),"← KNEE POINT (σ₁ prekročila reg_error)",IF(C21&lt;=$C$5,"σ₁ pod reg_error","σ₁ nad reg_error")))</f>
        <v/>
      </c>
    </row>
    <row r="22" customFormat="false" ht="15" hidden="false" customHeight="false" outlineLevel="0" collapsed="false">
      <c r="A22" s="31" t="n">
        <v>12</v>
      </c>
      <c r="B22" s="32" t="str">
        <f aca="false">IF(RAW_DATA!C15&lt;&gt;"",RAW_DATA!C15,"")</f>
        <v/>
      </c>
      <c r="C22" s="33" t="str">
        <f aca="false">IF(RAW_DATA!H15&lt;&gt;"",RAW_DATA!H15,"")</f>
        <v/>
      </c>
      <c r="D22" s="33" t="str">
        <f aca="false">IF(RAW_DATA!I15&lt;&gt;"",RAW_DATA!I15,"")</f>
        <v/>
      </c>
      <c r="E22" s="33" t="str">
        <f aca="false">IF(RAW_DATA!J15&lt;&gt;"",RAW_DATA!J15,"")</f>
        <v/>
      </c>
      <c r="F22" s="34" t="str">
        <f aca="false">IF(AND(C22&lt;&gt;"",D22&lt;&gt;"",D22&lt;&gt;0),C22/D22,"")</f>
        <v/>
      </c>
      <c r="G22" s="35" t="str">
        <f aca="false">IF(C22&lt;&gt;"",IF(C22&gt;$C$5,"ÁNO ← nad reg_error","nie"),"")</f>
        <v/>
      </c>
      <c r="H22" s="34" t="str">
        <f aca="false">IF(RAW_DATA!O15&lt;&gt;"",RAW_DATA!O15,"")</f>
        <v/>
      </c>
      <c r="I22" s="36" t="str">
        <f aca="false">IF(RAW_DATA!L15&lt;&gt;"",RAW_DATA!L15,"")</f>
        <v/>
      </c>
      <c r="J22" s="36" t="str">
        <f aca="false">IF(RAW_DATA!M15&lt;&gt;"",RAW_DATA!M15,"")</f>
        <v/>
      </c>
      <c r="K22" s="33" t="str">
        <f aca="false">IF(RAW_DATA!R15&lt;&gt;"",RAW_DATA!R15,"")</f>
        <v/>
      </c>
      <c r="L22" s="31" t="str">
        <f aca="false">IF(C22="","",IF(AND(C22&gt;$C$5,C21&lt;&gt;"",C21&lt;=$C$5),"← KNEE POINT (σ₁ prekročila reg_error)",IF(C22&lt;=$C$5,"σ₁ pod reg_error","σ₁ nad reg_error")))</f>
        <v/>
      </c>
    </row>
    <row r="23" customFormat="false" ht="15" hidden="false" customHeight="false" outlineLevel="0" collapsed="false">
      <c r="A23" s="25" t="n">
        <v>13</v>
      </c>
      <c r="B23" s="26" t="str">
        <f aca="false">IF(RAW_DATA!C16&lt;&gt;"",RAW_DATA!C16,"")</f>
        <v/>
      </c>
      <c r="C23" s="27" t="str">
        <f aca="false">IF(RAW_DATA!H16&lt;&gt;"",RAW_DATA!H16,"")</f>
        <v/>
      </c>
      <c r="D23" s="27" t="str">
        <f aca="false">IF(RAW_DATA!I16&lt;&gt;"",RAW_DATA!I16,"")</f>
        <v/>
      </c>
      <c r="E23" s="27" t="str">
        <f aca="false">IF(RAW_DATA!J16&lt;&gt;"",RAW_DATA!J16,"")</f>
        <v/>
      </c>
      <c r="F23" s="28" t="str">
        <f aca="false">IF(AND(C23&lt;&gt;"",D23&lt;&gt;"",D23&lt;&gt;0),C23/D23,"")</f>
        <v/>
      </c>
      <c r="G23" s="29" t="str">
        <f aca="false">IF(C23&lt;&gt;"",IF(C23&gt;$C$5,"ÁNO ← nad reg_error","nie"),"")</f>
        <v/>
      </c>
      <c r="H23" s="28" t="str">
        <f aca="false">IF(RAW_DATA!O16&lt;&gt;"",RAW_DATA!O16,"")</f>
        <v/>
      </c>
      <c r="I23" s="30" t="str">
        <f aca="false">IF(RAW_DATA!L16&lt;&gt;"",RAW_DATA!L16,"")</f>
        <v/>
      </c>
      <c r="J23" s="30" t="str">
        <f aca="false">IF(RAW_DATA!M16&lt;&gt;"",RAW_DATA!M16,"")</f>
        <v/>
      </c>
      <c r="K23" s="27" t="str">
        <f aca="false">IF(RAW_DATA!R16&lt;&gt;"",RAW_DATA!R16,"")</f>
        <v/>
      </c>
      <c r="L23" s="25" t="str">
        <f aca="false">IF(C23="","",IF(AND(C23&gt;$C$5,C22&lt;&gt;"",C22&lt;=$C$5),"← KNEE POINT (σ₁ prekročila reg_error)",IF(C23&lt;=$C$5,"σ₁ pod reg_error","σ₁ nad reg_error")))</f>
        <v/>
      </c>
    </row>
    <row r="24" customFormat="false" ht="15" hidden="false" customHeight="false" outlineLevel="0" collapsed="false">
      <c r="A24" s="31" t="n">
        <v>14</v>
      </c>
      <c r="B24" s="32" t="str">
        <f aca="false">IF(RAW_DATA!C17&lt;&gt;"",RAW_DATA!C17,"")</f>
        <v/>
      </c>
      <c r="C24" s="33" t="str">
        <f aca="false">IF(RAW_DATA!H17&lt;&gt;"",RAW_DATA!H17,"")</f>
        <v/>
      </c>
      <c r="D24" s="33" t="str">
        <f aca="false">IF(RAW_DATA!I17&lt;&gt;"",RAW_DATA!I17,"")</f>
        <v/>
      </c>
      <c r="E24" s="33" t="str">
        <f aca="false">IF(RAW_DATA!J17&lt;&gt;"",RAW_DATA!J17,"")</f>
        <v/>
      </c>
      <c r="F24" s="34" t="str">
        <f aca="false">IF(AND(C24&lt;&gt;"",D24&lt;&gt;"",D24&lt;&gt;0),C24/D24,"")</f>
        <v/>
      </c>
      <c r="G24" s="35" t="str">
        <f aca="false">IF(C24&lt;&gt;"",IF(C24&gt;$C$5,"ÁNO ← nad reg_error","nie"),"")</f>
        <v/>
      </c>
      <c r="H24" s="34" t="str">
        <f aca="false">IF(RAW_DATA!O17&lt;&gt;"",RAW_DATA!O17,"")</f>
        <v/>
      </c>
      <c r="I24" s="36" t="str">
        <f aca="false">IF(RAW_DATA!L17&lt;&gt;"",RAW_DATA!L17,"")</f>
        <v/>
      </c>
      <c r="J24" s="36" t="str">
        <f aca="false">IF(RAW_DATA!M17&lt;&gt;"",RAW_DATA!M17,"")</f>
        <v/>
      </c>
      <c r="K24" s="33" t="str">
        <f aca="false">IF(RAW_DATA!R17&lt;&gt;"",RAW_DATA!R17,"")</f>
        <v/>
      </c>
      <c r="L24" s="31" t="str">
        <f aca="false">IF(C24="","",IF(AND(C24&gt;$C$5,C23&lt;&gt;"",C23&lt;=$C$5),"← KNEE POINT (σ₁ prekročila reg_error)",IF(C24&lt;=$C$5,"σ₁ pod reg_error","σ₁ nad reg_error")))</f>
        <v/>
      </c>
    </row>
    <row r="25" customFormat="false" ht="15" hidden="false" customHeight="false" outlineLevel="0" collapsed="false">
      <c r="A25" s="25" t="n">
        <v>15</v>
      </c>
      <c r="B25" s="26" t="str">
        <f aca="false">IF(RAW_DATA!C18&lt;&gt;"",RAW_DATA!C18,"")</f>
        <v/>
      </c>
      <c r="C25" s="27" t="str">
        <f aca="false">IF(RAW_DATA!H18&lt;&gt;"",RAW_DATA!H18,"")</f>
        <v/>
      </c>
      <c r="D25" s="27" t="str">
        <f aca="false">IF(RAW_DATA!I18&lt;&gt;"",RAW_DATA!I18,"")</f>
        <v/>
      </c>
      <c r="E25" s="27" t="str">
        <f aca="false">IF(RAW_DATA!J18&lt;&gt;"",RAW_DATA!J18,"")</f>
        <v/>
      </c>
      <c r="F25" s="28" t="str">
        <f aca="false">IF(AND(C25&lt;&gt;"",D25&lt;&gt;"",D25&lt;&gt;0),C25/D25,"")</f>
        <v/>
      </c>
      <c r="G25" s="29" t="str">
        <f aca="false">IF(C25&lt;&gt;"",IF(C25&gt;$C$5,"ÁNO ← nad reg_error","nie"),"")</f>
        <v/>
      </c>
      <c r="H25" s="28" t="str">
        <f aca="false">IF(RAW_DATA!O18&lt;&gt;"",RAW_DATA!O18,"")</f>
        <v/>
      </c>
      <c r="I25" s="30" t="str">
        <f aca="false">IF(RAW_DATA!L18&lt;&gt;"",RAW_DATA!L18,"")</f>
        <v/>
      </c>
      <c r="J25" s="30" t="str">
        <f aca="false">IF(RAW_DATA!M18&lt;&gt;"",RAW_DATA!M18,"")</f>
        <v/>
      </c>
      <c r="K25" s="27" t="str">
        <f aca="false">IF(RAW_DATA!R18&lt;&gt;"",RAW_DATA!R18,"")</f>
        <v/>
      </c>
      <c r="L25" s="25" t="str">
        <f aca="false">IF(C25="","",IF(AND(C25&gt;$C$5,C24&lt;&gt;"",C24&lt;=$C$5),"← KNEE POINT (σ₁ prekročila reg_error)",IF(C25&lt;=$C$5,"σ₁ pod reg_error","σ₁ nad reg_error")))</f>
        <v/>
      </c>
    </row>
    <row r="26" customFormat="false" ht="15" hidden="false" customHeight="false" outlineLevel="0" collapsed="false">
      <c r="A26" s="31" t="n">
        <v>16</v>
      </c>
      <c r="B26" s="32" t="str">
        <f aca="false">IF(RAW_DATA!C19&lt;&gt;"",RAW_DATA!C19,"")</f>
        <v/>
      </c>
      <c r="C26" s="33" t="str">
        <f aca="false">IF(RAW_DATA!H19&lt;&gt;"",RAW_DATA!H19,"")</f>
        <v/>
      </c>
      <c r="D26" s="33" t="str">
        <f aca="false">IF(RAW_DATA!I19&lt;&gt;"",RAW_DATA!I19,"")</f>
        <v/>
      </c>
      <c r="E26" s="33" t="str">
        <f aca="false">IF(RAW_DATA!J19&lt;&gt;"",RAW_DATA!J19,"")</f>
        <v/>
      </c>
      <c r="F26" s="34" t="str">
        <f aca="false">IF(AND(C26&lt;&gt;"",D26&lt;&gt;"",D26&lt;&gt;0),C26/D26,"")</f>
        <v/>
      </c>
      <c r="G26" s="35" t="str">
        <f aca="false">IF(C26&lt;&gt;"",IF(C26&gt;$C$5,"ÁNO ← nad reg_error","nie"),"")</f>
        <v/>
      </c>
      <c r="H26" s="34" t="str">
        <f aca="false">IF(RAW_DATA!O19&lt;&gt;"",RAW_DATA!O19,"")</f>
        <v/>
      </c>
      <c r="I26" s="36" t="str">
        <f aca="false">IF(RAW_DATA!L19&lt;&gt;"",RAW_DATA!L19,"")</f>
        <v/>
      </c>
      <c r="J26" s="36" t="str">
        <f aca="false">IF(RAW_DATA!M19&lt;&gt;"",RAW_DATA!M19,"")</f>
        <v/>
      </c>
      <c r="K26" s="33" t="str">
        <f aca="false">IF(RAW_DATA!R19&lt;&gt;"",RAW_DATA!R19,"")</f>
        <v/>
      </c>
      <c r="L26" s="31" t="str">
        <f aca="false">IF(C26="","",IF(AND(C26&gt;$C$5,C25&lt;&gt;"",C25&lt;=$C$5),"← KNEE POINT (σ₁ prekročila reg_error)",IF(C26&lt;=$C$5,"σ₁ pod reg_error","σ₁ nad reg_error")))</f>
        <v/>
      </c>
    </row>
    <row r="27" customFormat="false" ht="15" hidden="false" customHeight="false" outlineLevel="0" collapsed="false">
      <c r="A27" s="25" t="n">
        <v>17</v>
      </c>
      <c r="B27" s="26" t="str">
        <f aca="false">IF(RAW_DATA!C20&lt;&gt;"",RAW_DATA!C20,"")</f>
        <v/>
      </c>
      <c r="C27" s="27" t="str">
        <f aca="false">IF(RAW_DATA!H20&lt;&gt;"",RAW_DATA!H20,"")</f>
        <v/>
      </c>
      <c r="D27" s="27" t="str">
        <f aca="false">IF(RAW_DATA!I20&lt;&gt;"",RAW_DATA!I20,"")</f>
        <v/>
      </c>
      <c r="E27" s="27" t="str">
        <f aca="false">IF(RAW_DATA!J20&lt;&gt;"",RAW_DATA!J20,"")</f>
        <v/>
      </c>
      <c r="F27" s="28" t="str">
        <f aca="false">IF(AND(C27&lt;&gt;"",D27&lt;&gt;"",D27&lt;&gt;0),C27/D27,"")</f>
        <v/>
      </c>
      <c r="G27" s="29" t="str">
        <f aca="false">IF(C27&lt;&gt;"",IF(C27&gt;$C$5,"ÁNO ← nad reg_error","nie"),"")</f>
        <v/>
      </c>
      <c r="H27" s="28" t="str">
        <f aca="false">IF(RAW_DATA!O20&lt;&gt;"",RAW_DATA!O20,"")</f>
        <v/>
      </c>
      <c r="I27" s="30" t="str">
        <f aca="false">IF(RAW_DATA!L20&lt;&gt;"",RAW_DATA!L20,"")</f>
        <v/>
      </c>
      <c r="J27" s="30" t="str">
        <f aca="false">IF(RAW_DATA!M20&lt;&gt;"",RAW_DATA!M20,"")</f>
        <v/>
      </c>
      <c r="K27" s="27" t="str">
        <f aca="false">IF(RAW_DATA!R20&lt;&gt;"",RAW_DATA!R20,"")</f>
        <v/>
      </c>
      <c r="L27" s="25" t="str">
        <f aca="false">IF(C27="","",IF(AND(C27&gt;$C$5,C26&lt;&gt;"",C26&lt;=$C$5),"← KNEE POINT (σ₁ prekročila reg_error)",IF(C27&lt;=$C$5,"σ₁ pod reg_error","σ₁ nad reg_error")))</f>
        <v/>
      </c>
    </row>
    <row r="28" customFormat="false" ht="15" hidden="false" customHeight="false" outlineLevel="0" collapsed="false">
      <c r="A28" s="31" t="n">
        <v>18</v>
      </c>
      <c r="B28" s="32" t="str">
        <f aca="false">IF(RAW_DATA!C21&lt;&gt;"",RAW_DATA!C21,"")</f>
        <v/>
      </c>
      <c r="C28" s="33" t="str">
        <f aca="false">IF(RAW_DATA!H21&lt;&gt;"",RAW_DATA!H21,"")</f>
        <v/>
      </c>
      <c r="D28" s="33" t="str">
        <f aca="false">IF(RAW_DATA!I21&lt;&gt;"",RAW_DATA!I21,"")</f>
        <v/>
      </c>
      <c r="E28" s="33" t="str">
        <f aca="false">IF(RAW_DATA!J21&lt;&gt;"",RAW_DATA!J21,"")</f>
        <v/>
      </c>
      <c r="F28" s="34" t="str">
        <f aca="false">IF(AND(C28&lt;&gt;"",D28&lt;&gt;"",D28&lt;&gt;0),C28/D28,"")</f>
        <v/>
      </c>
      <c r="G28" s="35" t="str">
        <f aca="false">IF(C28&lt;&gt;"",IF(C28&gt;$C$5,"ÁNO ← nad reg_error","nie"),"")</f>
        <v/>
      </c>
      <c r="H28" s="34" t="str">
        <f aca="false">IF(RAW_DATA!O21&lt;&gt;"",RAW_DATA!O21,"")</f>
        <v/>
      </c>
      <c r="I28" s="36" t="str">
        <f aca="false">IF(RAW_DATA!L21&lt;&gt;"",RAW_DATA!L21,"")</f>
        <v/>
      </c>
      <c r="J28" s="36" t="str">
        <f aca="false">IF(RAW_DATA!M21&lt;&gt;"",RAW_DATA!M21,"")</f>
        <v/>
      </c>
      <c r="K28" s="33" t="str">
        <f aca="false">IF(RAW_DATA!R21&lt;&gt;"",RAW_DATA!R21,"")</f>
        <v/>
      </c>
      <c r="L28" s="31" t="str">
        <f aca="false">IF(C28="","",IF(AND(C28&gt;$C$5,C27&lt;&gt;"",C27&lt;=$C$5),"← KNEE POINT (σ₁ prekročila reg_error)",IF(C28&lt;=$C$5,"σ₁ pod reg_error","σ₁ nad reg_error")))</f>
        <v/>
      </c>
    </row>
    <row r="29" customFormat="false" ht="15" hidden="false" customHeight="false" outlineLevel="0" collapsed="false">
      <c r="A29" s="25" t="n">
        <v>19</v>
      </c>
      <c r="B29" s="26" t="str">
        <f aca="false">IF(RAW_DATA!C22&lt;&gt;"",RAW_DATA!C22,"")</f>
        <v/>
      </c>
      <c r="C29" s="27" t="str">
        <f aca="false">IF(RAW_DATA!H22&lt;&gt;"",RAW_DATA!H22,"")</f>
        <v/>
      </c>
      <c r="D29" s="27" t="str">
        <f aca="false">IF(RAW_DATA!I22&lt;&gt;"",RAW_DATA!I22,"")</f>
        <v/>
      </c>
      <c r="E29" s="27" t="str">
        <f aca="false">IF(RAW_DATA!J22&lt;&gt;"",RAW_DATA!J22,"")</f>
        <v/>
      </c>
      <c r="F29" s="28" t="str">
        <f aca="false">IF(AND(C29&lt;&gt;"",D29&lt;&gt;"",D29&lt;&gt;0),C29/D29,"")</f>
        <v/>
      </c>
      <c r="G29" s="29" t="str">
        <f aca="false">IF(C29&lt;&gt;"",IF(C29&gt;$C$5,"ÁNO ← nad reg_error","nie"),"")</f>
        <v/>
      </c>
      <c r="H29" s="28" t="str">
        <f aca="false">IF(RAW_DATA!O22&lt;&gt;"",RAW_DATA!O22,"")</f>
        <v/>
      </c>
      <c r="I29" s="30" t="str">
        <f aca="false">IF(RAW_DATA!L22&lt;&gt;"",RAW_DATA!L22,"")</f>
        <v/>
      </c>
      <c r="J29" s="30" t="str">
        <f aca="false">IF(RAW_DATA!M22&lt;&gt;"",RAW_DATA!M22,"")</f>
        <v/>
      </c>
      <c r="K29" s="27" t="str">
        <f aca="false">IF(RAW_DATA!R22&lt;&gt;"",RAW_DATA!R22,"")</f>
        <v/>
      </c>
      <c r="L29" s="25" t="str">
        <f aca="false">IF(C29="","",IF(AND(C29&gt;$C$5,C28&lt;&gt;"",C28&lt;=$C$5),"← KNEE POINT (σ₁ prekročila reg_error)",IF(C29&lt;=$C$5,"σ₁ pod reg_error","σ₁ nad reg_error")))</f>
        <v/>
      </c>
    </row>
    <row r="30" customFormat="false" ht="15" hidden="false" customHeight="false" outlineLevel="0" collapsed="false">
      <c r="A30" s="31" t="n">
        <v>20</v>
      </c>
      <c r="B30" s="32" t="str">
        <f aca="false">IF(RAW_DATA!C23&lt;&gt;"",RAW_DATA!C23,"")</f>
        <v/>
      </c>
      <c r="C30" s="33" t="str">
        <f aca="false">IF(RAW_DATA!H23&lt;&gt;"",RAW_DATA!H23,"")</f>
        <v/>
      </c>
      <c r="D30" s="33" t="str">
        <f aca="false">IF(RAW_DATA!I23&lt;&gt;"",RAW_DATA!I23,"")</f>
        <v/>
      </c>
      <c r="E30" s="33" t="str">
        <f aca="false">IF(RAW_DATA!J23&lt;&gt;"",RAW_DATA!J23,"")</f>
        <v/>
      </c>
      <c r="F30" s="34" t="str">
        <f aca="false">IF(AND(C30&lt;&gt;"",D30&lt;&gt;"",D30&lt;&gt;0),C30/D30,"")</f>
        <v/>
      </c>
      <c r="G30" s="35" t="str">
        <f aca="false">IF(C30&lt;&gt;"",IF(C30&gt;$C$5,"ÁNO ← nad reg_error","nie"),"")</f>
        <v/>
      </c>
      <c r="H30" s="34" t="str">
        <f aca="false">IF(RAW_DATA!O23&lt;&gt;"",RAW_DATA!O23,"")</f>
        <v/>
      </c>
      <c r="I30" s="36" t="str">
        <f aca="false">IF(RAW_DATA!L23&lt;&gt;"",RAW_DATA!L23,"")</f>
        <v/>
      </c>
      <c r="J30" s="36" t="str">
        <f aca="false">IF(RAW_DATA!M23&lt;&gt;"",RAW_DATA!M23,"")</f>
        <v/>
      </c>
      <c r="K30" s="33" t="str">
        <f aca="false">IF(RAW_DATA!R23&lt;&gt;"",RAW_DATA!R23,"")</f>
        <v/>
      </c>
      <c r="L30" s="31" t="str">
        <f aca="false">IF(C30="","",IF(AND(C30&gt;$C$5,C29&lt;&gt;"",C29&lt;=$C$5),"← KNEE POINT (σ₁ prekročila reg_error)",IF(C30&lt;=$C$5,"σ₁ pod reg_error","σ₁ nad reg_error")))</f>
        <v/>
      </c>
    </row>
    <row r="33" customFormat="false" ht="15" hidden="false" customHeight="false" outlineLevel="0" collapsed="false">
      <c r="A33" s="37" t="s">
        <v>41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customFormat="false" ht="15" hidden="false" customHeight="true" outlineLevel="0" collapsed="false">
      <c r="B34" s="19" t="s">
        <v>42</v>
      </c>
      <c r="C34" s="38" t="str">
        <f aca="false">IFERROR(INDEX(B11:B30,MATCH(TRUE(),MMULT(--(C11:C30&gt;$C$5),{1}),0)),"—")</f>
        <v/>
      </c>
      <c r="D34" s="39" t="s">
        <v>43</v>
      </c>
      <c r="E34" s="39"/>
      <c r="F34" s="39"/>
      <c r="G34" s="39"/>
      <c r="H34" s="39"/>
      <c r="I34" s="39"/>
      <c r="J34" s="39"/>
      <c r="K34" s="39"/>
      <c r="L34" s="39"/>
    </row>
    <row r="35" customFormat="false" ht="15" hidden="false" customHeight="false" outlineLevel="0" collapsed="false">
      <c r="B35" s="19" t="s">
        <v>44</v>
      </c>
      <c r="C35" s="38" t="str">
        <f aca="false">IFERROR(INDEX(C11:C30,MATCH(TRUE(),MMULT(--(C11:C30&gt;$C$5),{1}),0)),"—")</f>
        <v/>
      </c>
      <c r="D35" s="39"/>
      <c r="E35" s="39"/>
      <c r="F35" s="39"/>
      <c r="G35" s="39"/>
      <c r="H35" s="39"/>
      <c r="I35" s="39"/>
      <c r="J35" s="39"/>
      <c r="K35" s="39"/>
      <c r="L35" s="39"/>
    </row>
    <row r="36" customFormat="false" ht="15" hidden="false" customHeight="false" outlineLevel="0" collapsed="false">
      <c r="B36" s="19" t="s">
        <v>45</v>
      </c>
      <c r="C36" s="38" t="str">
        <f aca="false">IFERROR(INDEX(D11:D30,MATCH(TRUE(),MMULT(--(C11:C30&gt;$C$5),{1}),0)),"—")</f>
        <v/>
      </c>
    </row>
    <row r="37" customFormat="false" ht="15" hidden="false" customHeight="false" outlineLevel="0" collapsed="false">
      <c r="B37" s="19" t="s">
        <v>46</v>
      </c>
      <c r="C37" s="38" t="str">
        <f aca="false">IFERROR(INDEX(E11:E30,MATCH(TRUE(),MMULT(--(C11:C30&gt;$C$5),{1}),0)),"—")</f>
        <v/>
      </c>
    </row>
    <row r="38" customFormat="false" ht="15" hidden="false" customHeight="false" outlineLevel="0" collapsed="false">
      <c r="B38" s="19" t="s">
        <v>47</v>
      </c>
      <c r="C38" s="38" t="str">
        <f aca="false">IFERROR(INDEX(H11:H30,MATCH(TRUE(),MMULT(--(C11:C30&gt;$C$5),{1}),0)),"—")</f>
        <v/>
      </c>
    </row>
    <row r="39" customFormat="false" ht="15" hidden="false" customHeight="false" outlineLevel="0" collapsed="false">
      <c r="B39" s="19" t="s">
        <v>48</v>
      </c>
      <c r="C39" s="38" t="str">
        <f aca="false">IFERROR(INDEX(I11:I30,MATCH(TRUE(),MMULT(--(C11:C30&gt;$C$5),{1}),0)),"—")</f>
        <v/>
      </c>
    </row>
  </sheetData>
  <mergeCells count="5">
    <mergeCell ref="A1:L1"/>
    <mergeCell ref="A3:L3"/>
    <mergeCell ref="A9:L9"/>
    <mergeCell ref="A33:L33"/>
    <mergeCell ref="D34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27.75" hidden="false" customHeight="true" outlineLevel="0" collapsed="false">
      <c r="B1" s="1" t="s">
        <v>49</v>
      </c>
      <c r="C1" s="1"/>
    </row>
    <row r="3" customFormat="false" ht="19.5" hidden="false" customHeight="true" outlineLevel="0" collapsed="false">
      <c r="B3" s="18" t="s">
        <v>50</v>
      </c>
      <c r="C3" s="18"/>
    </row>
    <row r="4" customFormat="false" ht="31.5" hidden="false" customHeight="true" outlineLevel="0" collapsed="false">
      <c r="B4" s="40" t="s">
        <v>51</v>
      </c>
      <c r="C4" s="40"/>
    </row>
    <row r="6" customFormat="false" ht="19.5" hidden="false" customHeight="true" outlineLevel="0" collapsed="false">
      <c r="B6" s="18" t="s">
        <v>52</v>
      </c>
      <c r="C6" s="18"/>
    </row>
    <row r="7" customFormat="false" ht="31.5" hidden="false" customHeight="true" outlineLevel="0" collapsed="false">
      <c r="B7" s="41" t="s">
        <v>53</v>
      </c>
      <c r="C7" s="41"/>
    </row>
    <row r="9" customFormat="false" ht="19.5" hidden="false" customHeight="true" outlineLevel="0" collapsed="false">
      <c r="B9" s="18" t="s">
        <v>54</v>
      </c>
      <c r="C9" s="18"/>
    </row>
    <row r="10" customFormat="false" ht="31.5" hidden="false" customHeight="true" outlineLevel="0" collapsed="false">
      <c r="B10" s="40" t="s">
        <v>55</v>
      </c>
      <c r="C10" s="40"/>
    </row>
    <row r="12" customFormat="false" ht="19.5" hidden="false" customHeight="true" outlineLevel="0" collapsed="false">
      <c r="B12" s="18" t="s">
        <v>56</v>
      </c>
      <c r="C12" s="18"/>
    </row>
    <row r="13" customFormat="false" ht="31.5" hidden="false" customHeight="true" outlineLevel="0" collapsed="false">
      <c r="B13" s="41" t="s">
        <v>57</v>
      </c>
      <c r="C13" s="41"/>
    </row>
    <row r="15" customFormat="false" ht="19.5" hidden="false" customHeight="true" outlineLevel="0" collapsed="false">
      <c r="B15" s="18" t="s">
        <v>58</v>
      </c>
      <c r="C15" s="18"/>
    </row>
    <row r="16" customFormat="false" ht="31.5" hidden="false" customHeight="true" outlineLevel="0" collapsed="false">
      <c r="B16" s="40" t="s">
        <v>59</v>
      </c>
      <c r="C16" s="40"/>
    </row>
    <row r="18" customFormat="false" ht="19.5" hidden="false" customHeight="true" outlineLevel="0" collapsed="false">
      <c r="B18" s="18" t="s">
        <v>60</v>
      </c>
      <c r="C18" s="18"/>
    </row>
    <row r="19" customFormat="false" ht="31.5" hidden="false" customHeight="true" outlineLevel="0" collapsed="false">
      <c r="B19" s="41" t="s">
        <v>61</v>
      </c>
      <c r="C19" s="41"/>
    </row>
    <row r="21" customFormat="false" ht="19.5" hidden="false" customHeight="true" outlineLevel="0" collapsed="false">
      <c r="B21" s="18" t="s">
        <v>62</v>
      </c>
      <c r="C21" s="18"/>
    </row>
    <row r="22" customFormat="false" ht="31.5" hidden="false" customHeight="true" outlineLevel="0" collapsed="false">
      <c r="B22" s="40" t="s">
        <v>63</v>
      </c>
      <c r="C22" s="40"/>
    </row>
  </sheetData>
  <mergeCells count="15">
    <mergeCell ref="B1:C1"/>
    <mergeCell ref="B3:C3"/>
    <mergeCell ref="B4:C4"/>
    <mergeCell ref="B6:C6"/>
    <mergeCell ref="B7:C7"/>
    <mergeCell ref="B9:C9"/>
    <mergeCell ref="B10:C10"/>
    <mergeCell ref="B12:C12"/>
    <mergeCell ref="B13:C13"/>
    <mergeCell ref="B15:C15"/>
    <mergeCell ref="B16:C16"/>
    <mergeCell ref="B18:C18"/>
    <mergeCell ref="B19:C19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2026-04-23T10:55:54Z</dcterms:created>
  <dc:creator>openpyxl</dc:creator>
  <dc:description/>
  <dc:language>en-US</dc:language>
  <cp:lastModifiedBy/>
  <dcterms:modified xsi:type="dcterms:W3CDTF">2026-04-23T10:56:03Z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